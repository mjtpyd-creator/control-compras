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Tickets" sheetId="3" state="visible" r:id="rId3"/>
    <sheet xmlns:r="http://schemas.openxmlformats.org/officeDocument/2006/relationships" name="Presupuesto" sheetId="4" state="visible" r:id="rId4"/>
    <sheet xmlns:r="http://schemas.openxmlformats.org/officeDocument/2006/relationships" name="Listas" sheetId="5" state="visible" r:id="rId5"/>
  </sheets>
  <definedNames>
    <definedName name="_xlnm._FilterDatabase" localSheetId="1" hidden="1">'Compras'!$A$1:$S$1</definedName>
    <definedName name="_xlnm._FilterDatabase" localSheetId="2" hidden="1">'Tickets'!$A$1:$M$1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DD/MM/YYYY"/>
    <numFmt numFmtId="167" formatCode="0.0&quot;%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3" borderId="0" pivotButton="0" quotePrefix="0" xfId="0"/>
    <xf numFmtId="0" fontId="0" fillId="3" borderId="0" pivotButton="0" quotePrefix="0" xfId="0"/>
    <xf numFmtId="0" fontId="1" fillId="2" borderId="0" pivotButton="0" quotePrefix="0" xfId="0"/>
    <xf numFmtId="164" fontId="0" fillId="4" borderId="0" pivotButton="0" quotePrefix="0" xfId="0"/>
    <xf numFmtId="1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3" borderId="1" pivotButton="0" quotePrefix="0" xfId="0"/>
    <xf numFmtId="164" fontId="0" fillId="4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4" fontId="4" fillId="4" borderId="0" pivotButton="0" quotePrefix="0" xfId="0"/>
    <xf numFmtId="165" fontId="4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'Resumen'!$A$16:$A$27</f>
            </numRef>
          </cat>
          <val>
            <numRef>
              <f>'Resumen'!$C$16:$C$27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'Resumen'!B31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'Resumen'!$A$32:$A$55</f>
            </numRef>
          </cat>
          <val>
            <numRef>
              <f>'Resumen'!$B$32:$B$55</f>
            </numRef>
          </val>
        </ser>
        <dLbls>
          <showCatName val="1"/>
          <showPercent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5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4" customWidth="1" min="5" max="5"/>
  </cols>
  <sheetData>
    <row r="1">
      <c r="A1" s="1" t="inlineStr">
        <is>
          <t>CONTROL DE COMPRAS POR TICKETS</t>
        </is>
      </c>
    </row>
    <row r="2">
      <c r="A2" s="2" t="inlineStr">
        <is>
          <t>Ejercicio analizado:</t>
        </is>
      </c>
      <c r="B2" s="3">
        <f>YEAR(TODAY())</f>
        <v/>
      </c>
    </row>
    <row r="3">
      <c r="A3" s="2" t="inlineStr">
        <is>
          <t>Moneda:</t>
        </is>
      </c>
      <c r="B3" s="4" t="inlineStr">
        <is>
          <t>ARS</t>
        </is>
      </c>
    </row>
    <row r="5">
      <c r="A5" s="5" t="inlineStr">
        <is>
          <t>ESTADO DEL EJERCICIO</t>
        </is>
      </c>
    </row>
    <row r="6">
      <c r="A6" s="2" t="inlineStr">
        <is>
          <t>Gasto total del ejercicio</t>
        </is>
      </c>
      <c r="B6" s="23">
        <f>ROUND(SUMIFS(Compras!$L$2:$L$5000,Compras!$C$2:$C$5000,"&gt;="&amp;DATE($B$2,1,1),Compras!$C$2:$C$5000,"&lt;="&amp;DATE($B$2,12,31)),2)</f>
        <v/>
      </c>
    </row>
    <row r="7">
      <c r="A7" s="2" t="inlineStr">
        <is>
          <t>Tickets registrados</t>
        </is>
      </c>
      <c r="B7" s="7">
        <f>COUNTIFS(Tickets!$B$2:$B$5000,"&gt;="&amp;DATE($B$2,1,1),Tickets!$B$2:$B$5000,"&lt;="&amp;DATE($B$2,12,31))</f>
        <v/>
      </c>
    </row>
    <row r="8">
      <c r="A8" s="2" t="inlineStr">
        <is>
          <t>Lineas registradas</t>
        </is>
      </c>
      <c r="B8" s="7">
        <f>COUNTIFS(Compras!$C$2:$C$5000,"&gt;="&amp;DATE($B$2,1,1),Compras!$C$2:$C$5000,"&lt;="&amp;DATE($B$2,12,31))</f>
        <v/>
      </c>
    </row>
    <row r="9">
      <c r="A9" s="2" t="inlineStr">
        <is>
          <t>Importe medio por ticket</t>
        </is>
      </c>
      <c r="B9" s="23">
        <f>IF($B$7=0,0,ROUND($B$6/$B$7,2))</f>
        <v/>
      </c>
    </row>
    <row r="10">
      <c r="A10" s="2" t="inlineStr">
        <is>
          <t>IVA incluido en las compras</t>
        </is>
      </c>
      <c r="B10" s="23">
        <f>ROUND(SUMIFS(Compras!$N$2:$N$5000,Compras!$C$2:$C$5000,"&gt;="&amp;DATE($B$2,1,1),Compras!$C$2:$C$5000,"&lt;="&amp;DATE($B$2,12,31)),2)</f>
        <v/>
      </c>
    </row>
    <row r="11">
      <c r="A11" s="2" t="inlineStr">
        <is>
          <t>Tickets a revisar (no cuadran)</t>
        </is>
      </c>
      <c r="B11" s="7">
        <f>COUNTIFS(Tickets!$B$2:$B$5000,"&gt;="&amp;DATE($B$2,1,1),Tickets!$B$2:$B$5000,"&lt;="&amp;DATE($B$2,12,31),Tickets!$G$2:$G$5000,"REVISAR")</f>
        <v/>
      </c>
    </row>
    <row r="12">
      <c r="A12" s="2" t="inlineStr">
        <is>
          <t>Posibles duplicados</t>
        </is>
      </c>
      <c r="B12" s="7">
        <f>COUNTIFS(Tickets!$B$2:$B$5000,"&gt;="&amp;DATE($B$2,1,1),Tickets!$B$2:$B$5000,"&lt;="&amp;DATE($B$2,12,31),Tickets!$M$2:$M$5000,"DUPLICADO")</f>
        <v/>
      </c>
    </row>
    <row r="14">
      <c r="A14" s="5" t="inlineStr">
        <is>
          <t>GASTO POR MES</t>
        </is>
      </c>
    </row>
    <row r="15" ht="30" customHeight="1">
      <c r="A15" s="8" t="inlineStr">
        <is>
          <t>Mes</t>
        </is>
      </c>
      <c r="B15" s="8" t="inlineStr">
        <is>
          <t>N. tickets</t>
        </is>
      </c>
      <c r="C15" s="8" t="inlineStr">
        <is>
          <t>Gasto</t>
        </is>
      </c>
      <c r="D15" s="8" t="inlineStr">
        <is>
          <t>% del ejercicio</t>
        </is>
      </c>
    </row>
    <row r="16">
      <c r="A16" s="9" t="inlineStr">
        <is>
          <t>Enero</t>
        </is>
      </c>
      <c r="B16" s="10">
        <f>COUNTIFS(Tickets!$B$2:$B$5000,"&gt;="&amp;DATE($B$2,1,1),Tickets!$B$2:$B$5000,"&lt;="&amp;EOMONTH(DATE($B$2,1,1),0))</f>
        <v/>
      </c>
      <c r="C16" s="24">
        <f>ROUND(SUMIFS(Compras!$L$2:$L$5000,Compras!$C$2:$C$5000,"&gt;="&amp;DATE($B$2,1,1),Compras!$C$2:$C$5000,"&lt;="&amp;EOMONTH(DATE($B$2,1,1),0)),2)</f>
        <v/>
      </c>
      <c r="D16" s="25">
        <f>IF($B$6=0,0,$C16/$B$6)</f>
        <v/>
      </c>
    </row>
    <row r="17">
      <c r="A17" s="9" t="inlineStr">
        <is>
          <t>Febrero</t>
        </is>
      </c>
      <c r="B17" s="10">
        <f>COUNTIFS(Tickets!$B$2:$B$5000,"&gt;="&amp;DATE($B$2,2,1),Tickets!$B$2:$B$5000,"&lt;="&amp;EOMONTH(DATE($B$2,2,1),0))</f>
        <v/>
      </c>
      <c r="C17" s="24">
        <f>ROUND(SUMIFS(Compras!$L$2:$L$5000,Compras!$C$2:$C$5000,"&gt;="&amp;DATE($B$2,2,1),Compras!$C$2:$C$5000,"&lt;="&amp;EOMONTH(DATE($B$2,2,1),0)),2)</f>
        <v/>
      </c>
      <c r="D17" s="25">
        <f>IF($B$6=0,0,$C17/$B$6)</f>
        <v/>
      </c>
    </row>
    <row r="18">
      <c r="A18" s="9" t="inlineStr">
        <is>
          <t>Marzo</t>
        </is>
      </c>
      <c r="B18" s="10">
        <f>COUNTIFS(Tickets!$B$2:$B$5000,"&gt;="&amp;DATE($B$2,3,1),Tickets!$B$2:$B$5000,"&lt;="&amp;EOMONTH(DATE($B$2,3,1),0))</f>
        <v/>
      </c>
      <c r="C18" s="24">
        <f>ROUND(SUMIFS(Compras!$L$2:$L$5000,Compras!$C$2:$C$5000,"&gt;="&amp;DATE($B$2,3,1),Compras!$C$2:$C$5000,"&lt;="&amp;EOMONTH(DATE($B$2,3,1),0)),2)</f>
        <v/>
      </c>
      <c r="D18" s="25">
        <f>IF($B$6=0,0,$C18/$B$6)</f>
        <v/>
      </c>
    </row>
    <row r="19">
      <c r="A19" s="9" t="inlineStr">
        <is>
          <t>Abril</t>
        </is>
      </c>
      <c r="B19" s="10">
        <f>COUNTIFS(Tickets!$B$2:$B$5000,"&gt;="&amp;DATE($B$2,4,1),Tickets!$B$2:$B$5000,"&lt;="&amp;EOMONTH(DATE($B$2,4,1),0))</f>
        <v/>
      </c>
      <c r="C19" s="24">
        <f>ROUND(SUMIFS(Compras!$L$2:$L$5000,Compras!$C$2:$C$5000,"&gt;="&amp;DATE($B$2,4,1),Compras!$C$2:$C$5000,"&lt;="&amp;EOMONTH(DATE($B$2,4,1),0)),2)</f>
        <v/>
      </c>
      <c r="D19" s="25">
        <f>IF($B$6=0,0,$C19/$B$6)</f>
        <v/>
      </c>
    </row>
    <row r="20">
      <c r="A20" s="9" t="inlineStr">
        <is>
          <t>Mayo</t>
        </is>
      </c>
      <c r="B20" s="10">
        <f>COUNTIFS(Tickets!$B$2:$B$5000,"&gt;="&amp;DATE($B$2,5,1),Tickets!$B$2:$B$5000,"&lt;="&amp;EOMONTH(DATE($B$2,5,1),0))</f>
        <v/>
      </c>
      <c r="C20" s="24">
        <f>ROUND(SUMIFS(Compras!$L$2:$L$5000,Compras!$C$2:$C$5000,"&gt;="&amp;DATE($B$2,5,1),Compras!$C$2:$C$5000,"&lt;="&amp;EOMONTH(DATE($B$2,5,1),0)),2)</f>
        <v/>
      </c>
      <c r="D20" s="25">
        <f>IF($B$6=0,0,$C20/$B$6)</f>
        <v/>
      </c>
    </row>
    <row r="21">
      <c r="A21" s="9" t="inlineStr">
        <is>
          <t>Junio</t>
        </is>
      </c>
      <c r="B21" s="10">
        <f>COUNTIFS(Tickets!$B$2:$B$5000,"&gt;="&amp;DATE($B$2,6,1),Tickets!$B$2:$B$5000,"&lt;="&amp;EOMONTH(DATE($B$2,6,1),0))</f>
        <v/>
      </c>
      <c r="C21" s="24">
        <f>ROUND(SUMIFS(Compras!$L$2:$L$5000,Compras!$C$2:$C$5000,"&gt;="&amp;DATE($B$2,6,1),Compras!$C$2:$C$5000,"&lt;="&amp;EOMONTH(DATE($B$2,6,1),0)),2)</f>
        <v/>
      </c>
      <c r="D21" s="25">
        <f>IF($B$6=0,0,$C21/$B$6)</f>
        <v/>
      </c>
    </row>
    <row r="22">
      <c r="A22" s="9" t="inlineStr">
        <is>
          <t>Julio</t>
        </is>
      </c>
      <c r="B22" s="10">
        <f>COUNTIFS(Tickets!$B$2:$B$5000,"&gt;="&amp;DATE($B$2,7,1),Tickets!$B$2:$B$5000,"&lt;="&amp;EOMONTH(DATE($B$2,7,1),0))</f>
        <v/>
      </c>
      <c r="C22" s="24">
        <f>ROUND(SUMIFS(Compras!$L$2:$L$5000,Compras!$C$2:$C$5000,"&gt;="&amp;DATE($B$2,7,1),Compras!$C$2:$C$5000,"&lt;="&amp;EOMONTH(DATE($B$2,7,1),0)),2)</f>
        <v/>
      </c>
      <c r="D22" s="25">
        <f>IF($B$6=0,0,$C22/$B$6)</f>
        <v/>
      </c>
    </row>
    <row r="23">
      <c r="A23" s="9" t="inlineStr">
        <is>
          <t>Agosto</t>
        </is>
      </c>
      <c r="B23" s="10">
        <f>COUNTIFS(Tickets!$B$2:$B$5000,"&gt;="&amp;DATE($B$2,8,1),Tickets!$B$2:$B$5000,"&lt;="&amp;EOMONTH(DATE($B$2,8,1),0))</f>
        <v/>
      </c>
      <c r="C23" s="24">
        <f>ROUND(SUMIFS(Compras!$L$2:$L$5000,Compras!$C$2:$C$5000,"&gt;="&amp;DATE($B$2,8,1),Compras!$C$2:$C$5000,"&lt;="&amp;EOMONTH(DATE($B$2,8,1),0)),2)</f>
        <v/>
      </c>
      <c r="D23" s="25">
        <f>IF($B$6=0,0,$C23/$B$6)</f>
        <v/>
      </c>
    </row>
    <row r="24">
      <c r="A24" s="9" t="inlineStr">
        <is>
          <t>Septiembre</t>
        </is>
      </c>
      <c r="B24" s="10">
        <f>COUNTIFS(Tickets!$B$2:$B$5000,"&gt;="&amp;DATE($B$2,9,1),Tickets!$B$2:$B$5000,"&lt;="&amp;EOMONTH(DATE($B$2,9,1),0))</f>
        <v/>
      </c>
      <c r="C24" s="24">
        <f>ROUND(SUMIFS(Compras!$L$2:$L$5000,Compras!$C$2:$C$5000,"&gt;="&amp;DATE($B$2,9,1),Compras!$C$2:$C$5000,"&lt;="&amp;EOMONTH(DATE($B$2,9,1),0)),2)</f>
        <v/>
      </c>
      <c r="D24" s="25">
        <f>IF($B$6=0,0,$C24/$B$6)</f>
        <v/>
      </c>
    </row>
    <row r="25">
      <c r="A25" s="9" t="inlineStr">
        <is>
          <t>Octubre</t>
        </is>
      </c>
      <c r="B25" s="10">
        <f>COUNTIFS(Tickets!$B$2:$B$5000,"&gt;="&amp;DATE($B$2,10,1),Tickets!$B$2:$B$5000,"&lt;="&amp;EOMONTH(DATE($B$2,10,1),0))</f>
        <v/>
      </c>
      <c r="C25" s="24">
        <f>ROUND(SUMIFS(Compras!$L$2:$L$5000,Compras!$C$2:$C$5000,"&gt;="&amp;DATE($B$2,10,1),Compras!$C$2:$C$5000,"&lt;="&amp;EOMONTH(DATE($B$2,10,1),0)),2)</f>
        <v/>
      </c>
      <c r="D25" s="25">
        <f>IF($B$6=0,0,$C25/$B$6)</f>
        <v/>
      </c>
    </row>
    <row r="26">
      <c r="A26" s="9" t="inlineStr">
        <is>
          <t>Noviembre</t>
        </is>
      </c>
      <c r="B26" s="10">
        <f>COUNTIFS(Tickets!$B$2:$B$5000,"&gt;="&amp;DATE($B$2,11,1),Tickets!$B$2:$B$5000,"&lt;="&amp;EOMONTH(DATE($B$2,11,1),0))</f>
        <v/>
      </c>
      <c r="C26" s="24">
        <f>ROUND(SUMIFS(Compras!$L$2:$L$5000,Compras!$C$2:$C$5000,"&gt;="&amp;DATE($B$2,11,1),Compras!$C$2:$C$5000,"&lt;="&amp;EOMONTH(DATE($B$2,11,1),0)),2)</f>
        <v/>
      </c>
      <c r="D26" s="25">
        <f>IF($B$6=0,0,$C26/$B$6)</f>
        <v/>
      </c>
    </row>
    <row r="27">
      <c r="A27" s="9" t="inlineStr">
        <is>
          <t>Diciembre</t>
        </is>
      </c>
      <c r="B27" s="10">
        <f>COUNTIFS(Tickets!$B$2:$B$5000,"&gt;="&amp;DATE($B$2,12,1),Tickets!$B$2:$B$5000,"&lt;="&amp;EOMONTH(DATE($B$2,12,1),0))</f>
        <v/>
      </c>
      <c r="C27" s="24">
        <f>ROUND(SUMIFS(Compras!$L$2:$L$5000,Compras!$C$2:$C$5000,"&gt;="&amp;DATE($B$2,12,1),Compras!$C$2:$C$5000,"&lt;="&amp;EOMONTH(DATE($B$2,12,1),0)),2)</f>
        <v/>
      </c>
      <c r="D27" s="25">
        <f>IF($B$6=0,0,$C27/$B$6)</f>
        <v/>
      </c>
    </row>
    <row r="28">
      <c r="A28" s="2" t="inlineStr">
        <is>
          <t>TOTAL</t>
        </is>
      </c>
      <c r="B28" s="13">
        <f>SUM(B16:B27)</f>
        <v/>
      </c>
      <c r="C28" s="26">
        <f>SUM(C16:C27)</f>
        <v/>
      </c>
      <c r="D28" s="27">
        <f>SUM(D16:D27)</f>
        <v/>
      </c>
    </row>
    <row r="30">
      <c r="A30" s="5" t="inlineStr">
        <is>
          <t>GASTO POR CATEGORIA</t>
        </is>
      </c>
    </row>
    <row r="31" ht="30" customHeight="1">
      <c r="A31" s="8" t="inlineStr">
        <is>
          <t>Categoria</t>
        </is>
      </c>
      <c r="B31" s="8" t="inlineStr">
        <is>
          <t>Gasto</t>
        </is>
      </c>
      <c r="C31" s="8" t="inlineStr">
        <is>
          <t>% del ejercicio</t>
        </is>
      </c>
      <c r="D31" s="8" t="inlineStr">
        <is>
          <t>N. lineas</t>
        </is>
      </c>
    </row>
    <row r="32">
      <c r="A32" s="9">
        <f>IF(Listas!$A2="","",Listas!$A2)</f>
        <v/>
      </c>
      <c r="B32" s="24">
        <f>IF($A32="","",ROUND(SUMIFS(Compras!$L$2:$L$5000,Compras!$F$2:$F$5000,$A32,Compras!$C$2:$C$5000,"&gt;="&amp;DATE($B$2,1,1),Compras!$C$2:$C$5000,"&lt;="&amp;DATE($B$2,12,31)),2))</f>
        <v/>
      </c>
      <c r="C32" s="25">
        <f>IF(OR($A32="",$B$6=0),"",$B32/$B$6)</f>
        <v/>
      </c>
      <c r="D32" s="10">
        <f>IF($A32="","",COUNTIFS(Compras!$F$2:$F$5000,$A32,Compras!$C$2:$C$5000,"&gt;="&amp;DATE($B$2,1,1),Compras!$C$2:$C$5000,"&lt;="&amp;DATE($B$2,12,31)))</f>
        <v/>
      </c>
    </row>
    <row r="33">
      <c r="A33" s="9">
        <f>IF(Listas!$A3="","",Listas!$A3)</f>
        <v/>
      </c>
      <c r="B33" s="24">
        <f>IF($A33="","",ROUND(SUMIFS(Compras!$L$2:$L$5000,Compras!$F$2:$F$5000,$A33,Compras!$C$2:$C$5000,"&gt;="&amp;DATE($B$2,1,1),Compras!$C$2:$C$5000,"&lt;="&amp;DATE($B$2,12,31)),2))</f>
        <v/>
      </c>
      <c r="C33" s="25">
        <f>IF(OR($A33="",$B$6=0),"",$B33/$B$6)</f>
        <v/>
      </c>
      <c r="D33" s="10">
        <f>IF($A33="","",COUNTIFS(Compras!$F$2:$F$5000,$A33,Compras!$C$2:$C$5000,"&gt;="&amp;DATE($B$2,1,1),Compras!$C$2:$C$5000,"&lt;="&amp;DATE($B$2,12,31)))</f>
        <v/>
      </c>
    </row>
    <row r="34">
      <c r="A34" s="9">
        <f>IF(Listas!$A4="","",Listas!$A4)</f>
        <v/>
      </c>
      <c r="B34" s="24">
        <f>IF($A34="","",ROUND(SUMIFS(Compras!$L$2:$L$5000,Compras!$F$2:$F$5000,$A34,Compras!$C$2:$C$5000,"&gt;="&amp;DATE($B$2,1,1),Compras!$C$2:$C$5000,"&lt;="&amp;DATE($B$2,12,31)),2))</f>
        <v/>
      </c>
      <c r="C34" s="25">
        <f>IF(OR($A34="",$B$6=0),"",$B34/$B$6)</f>
        <v/>
      </c>
      <c r="D34" s="10">
        <f>IF($A34="","",COUNTIFS(Compras!$F$2:$F$5000,$A34,Compras!$C$2:$C$5000,"&gt;="&amp;DATE($B$2,1,1),Compras!$C$2:$C$5000,"&lt;="&amp;DATE($B$2,12,31)))</f>
        <v/>
      </c>
    </row>
    <row r="35">
      <c r="A35" s="9">
        <f>IF(Listas!$A5="","",Listas!$A5)</f>
        <v/>
      </c>
      <c r="B35" s="24">
        <f>IF($A35="","",ROUND(SUMIFS(Compras!$L$2:$L$5000,Compras!$F$2:$F$5000,$A35,Compras!$C$2:$C$5000,"&gt;="&amp;DATE($B$2,1,1),Compras!$C$2:$C$5000,"&lt;="&amp;DATE($B$2,12,31)),2))</f>
        <v/>
      </c>
      <c r="C35" s="25">
        <f>IF(OR($A35="",$B$6=0),"",$B35/$B$6)</f>
        <v/>
      </c>
      <c r="D35" s="10">
        <f>IF($A35="","",COUNTIFS(Compras!$F$2:$F$5000,$A35,Compras!$C$2:$C$5000,"&gt;="&amp;DATE($B$2,1,1),Compras!$C$2:$C$5000,"&lt;="&amp;DATE($B$2,12,31)))</f>
        <v/>
      </c>
    </row>
    <row r="36">
      <c r="A36" s="9">
        <f>IF(Listas!$A6="","",Listas!$A6)</f>
        <v/>
      </c>
      <c r="B36" s="24">
        <f>IF($A36="","",ROUND(SUMIFS(Compras!$L$2:$L$5000,Compras!$F$2:$F$5000,$A36,Compras!$C$2:$C$5000,"&gt;="&amp;DATE($B$2,1,1),Compras!$C$2:$C$5000,"&lt;="&amp;DATE($B$2,12,31)),2))</f>
        <v/>
      </c>
      <c r="C36" s="25">
        <f>IF(OR($A36="",$B$6=0),"",$B36/$B$6)</f>
        <v/>
      </c>
      <c r="D36" s="10">
        <f>IF($A36="","",COUNTIFS(Compras!$F$2:$F$5000,$A36,Compras!$C$2:$C$5000,"&gt;="&amp;DATE($B$2,1,1),Compras!$C$2:$C$5000,"&lt;="&amp;DATE($B$2,12,31)))</f>
        <v/>
      </c>
    </row>
    <row r="37">
      <c r="A37" s="9">
        <f>IF(Listas!$A7="","",Listas!$A7)</f>
        <v/>
      </c>
      <c r="B37" s="24">
        <f>IF($A37="","",ROUND(SUMIFS(Compras!$L$2:$L$5000,Compras!$F$2:$F$5000,$A37,Compras!$C$2:$C$5000,"&gt;="&amp;DATE($B$2,1,1),Compras!$C$2:$C$5000,"&lt;="&amp;DATE($B$2,12,31)),2))</f>
        <v/>
      </c>
      <c r="C37" s="25">
        <f>IF(OR($A37="",$B$6=0),"",$B37/$B$6)</f>
        <v/>
      </c>
      <c r="D37" s="10">
        <f>IF($A37="","",COUNTIFS(Compras!$F$2:$F$5000,$A37,Compras!$C$2:$C$5000,"&gt;="&amp;DATE($B$2,1,1),Compras!$C$2:$C$5000,"&lt;="&amp;DATE($B$2,12,31)))</f>
        <v/>
      </c>
    </row>
    <row r="38">
      <c r="A38" s="9">
        <f>IF(Listas!$A8="","",Listas!$A8)</f>
        <v/>
      </c>
      <c r="B38" s="24">
        <f>IF($A38="","",ROUND(SUMIFS(Compras!$L$2:$L$5000,Compras!$F$2:$F$5000,$A38,Compras!$C$2:$C$5000,"&gt;="&amp;DATE($B$2,1,1),Compras!$C$2:$C$5000,"&lt;="&amp;DATE($B$2,12,31)),2))</f>
        <v/>
      </c>
      <c r="C38" s="25">
        <f>IF(OR($A38="",$B$6=0),"",$B38/$B$6)</f>
        <v/>
      </c>
      <c r="D38" s="10">
        <f>IF($A38="","",COUNTIFS(Compras!$F$2:$F$5000,$A38,Compras!$C$2:$C$5000,"&gt;="&amp;DATE($B$2,1,1),Compras!$C$2:$C$5000,"&lt;="&amp;DATE($B$2,12,31)))</f>
        <v/>
      </c>
    </row>
    <row r="39">
      <c r="A39" s="9">
        <f>IF(Listas!$A9="","",Listas!$A9)</f>
        <v/>
      </c>
      <c r="B39" s="24">
        <f>IF($A39="","",ROUND(SUMIFS(Compras!$L$2:$L$5000,Compras!$F$2:$F$5000,$A39,Compras!$C$2:$C$5000,"&gt;="&amp;DATE($B$2,1,1),Compras!$C$2:$C$5000,"&lt;="&amp;DATE($B$2,12,31)),2))</f>
        <v/>
      </c>
      <c r="C39" s="25">
        <f>IF(OR($A39="",$B$6=0),"",$B39/$B$6)</f>
        <v/>
      </c>
      <c r="D39" s="10">
        <f>IF($A39="","",COUNTIFS(Compras!$F$2:$F$5000,$A39,Compras!$C$2:$C$5000,"&gt;="&amp;DATE($B$2,1,1),Compras!$C$2:$C$5000,"&lt;="&amp;DATE($B$2,12,31)))</f>
        <v/>
      </c>
    </row>
    <row r="40">
      <c r="A40" s="9">
        <f>IF(Listas!$A10="","",Listas!$A10)</f>
        <v/>
      </c>
      <c r="B40" s="24">
        <f>IF($A40="","",ROUND(SUMIFS(Compras!$L$2:$L$5000,Compras!$F$2:$F$5000,$A40,Compras!$C$2:$C$5000,"&gt;="&amp;DATE($B$2,1,1),Compras!$C$2:$C$5000,"&lt;="&amp;DATE($B$2,12,31)),2))</f>
        <v/>
      </c>
      <c r="C40" s="25">
        <f>IF(OR($A40="",$B$6=0),"",$B40/$B$6)</f>
        <v/>
      </c>
      <c r="D40" s="10">
        <f>IF($A40="","",COUNTIFS(Compras!$F$2:$F$5000,$A40,Compras!$C$2:$C$5000,"&gt;="&amp;DATE($B$2,1,1),Compras!$C$2:$C$5000,"&lt;="&amp;DATE($B$2,12,31)))</f>
        <v/>
      </c>
    </row>
    <row r="41">
      <c r="A41" s="9">
        <f>IF(Listas!$A11="","",Listas!$A11)</f>
        <v/>
      </c>
      <c r="B41" s="24">
        <f>IF($A41="","",ROUND(SUMIFS(Compras!$L$2:$L$5000,Compras!$F$2:$F$5000,$A41,Compras!$C$2:$C$5000,"&gt;="&amp;DATE($B$2,1,1),Compras!$C$2:$C$5000,"&lt;="&amp;DATE($B$2,12,31)),2))</f>
        <v/>
      </c>
      <c r="C41" s="25">
        <f>IF(OR($A41="",$B$6=0),"",$B41/$B$6)</f>
        <v/>
      </c>
      <c r="D41" s="10">
        <f>IF($A41="","",COUNTIFS(Compras!$F$2:$F$5000,$A41,Compras!$C$2:$C$5000,"&gt;="&amp;DATE($B$2,1,1),Compras!$C$2:$C$5000,"&lt;="&amp;DATE($B$2,12,31)))</f>
        <v/>
      </c>
    </row>
    <row r="42">
      <c r="A42" s="9">
        <f>IF(Listas!$A12="","",Listas!$A12)</f>
        <v/>
      </c>
      <c r="B42" s="24">
        <f>IF($A42="","",ROUND(SUMIFS(Compras!$L$2:$L$5000,Compras!$F$2:$F$5000,$A42,Compras!$C$2:$C$5000,"&gt;="&amp;DATE($B$2,1,1),Compras!$C$2:$C$5000,"&lt;="&amp;DATE($B$2,12,31)),2))</f>
        <v/>
      </c>
      <c r="C42" s="25">
        <f>IF(OR($A42="",$B$6=0),"",$B42/$B$6)</f>
        <v/>
      </c>
      <c r="D42" s="10">
        <f>IF($A42="","",COUNTIFS(Compras!$F$2:$F$5000,$A42,Compras!$C$2:$C$5000,"&gt;="&amp;DATE($B$2,1,1),Compras!$C$2:$C$5000,"&lt;="&amp;DATE($B$2,12,31)))</f>
        <v/>
      </c>
    </row>
    <row r="43">
      <c r="A43" s="9">
        <f>IF(Listas!$A13="","",Listas!$A13)</f>
        <v/>
      </c>
      <c r="B43" s="24">
        <f>IF($A43="","",ROUND(SUMIFS(Compras!$L$2:$L$5000,Compras!$F$2:$F$5000,$A43,Compras!$C$2:$C$5000,"&gt;="&amp;DATE($B$2,1,1),Compras!$C$2:$C$5000,"&lt;="&amp;DATE($B$2,12,31)),2))</f>
        <v/>
      </c>
      <c r="C43" s="25">
        <f>IF(OR($A43="",$B$6=0),"",$B43/$B$6)</f>
        <v/>
      </c>
      <c r="D43" s="10">
        <f>IF($A43="","",COUNTIFS(Compras!$F$2:$F$5000,$A43,Compras!$C$2:$C$5000,"&gt;="&amp;DATE($B$2,1,1),Compras!$C$2:$C$5000,"&lt;="&amp;DATE($B$2,12,31)))</f>
        <v/>
      </c>
    </row>
    <row r="44">
      <c r="A44" s="9">
        <f>IF(Listas!$A14="","",Listas!$A14)</f>
        <v/>
      </c>
      <c r="B44" s="24">
        <f>IF($A44="","",ROUND(SUMIFS(Compras!$L$2:$L$5000,Compras!$F$2:$F$5000,$A44,Compras!$C$2:$C$5000,"&gt;="&amp;DATE($B$2,1,1),Compras!$C$2:$C$5000,"&lt;="&amp;DATE($B$2,12,31)),2))</f>
        <v/>
      </c>
      <c r="C44" s="25">
        <f>IF(OR($A44="",$B$6=0),"",$B44/$B$6)</f>
        <v/>
      </c>
      <c r="D44" s="10">
        <f>IF($A44="","",COUNTIFS(Compras!$F$2:$F$5000,$A44,Compras!$C$2:$C$5000,"&gt;="&amp;DATE($B$2,1,1),Compras!$C$2:$C$5000,"&lt;="&amp;DATE($B$2,12,31)))</f>
        <v/>
      </c>
    </row>
    <row r="45">
      <c r="A45" s="9">
        <f>IF(Listas!$A15="","",Listas!$A15)</f>
        <v/>
      </c>
      <c r="B45" s="24">
        <f>IF($A45="","",ROUND(SUMIFS(Compras!$L$2:$L$5000,Compras!$F$2:$F$5000,$A45,Compras!$C$2:$C$5000,"&gt;="&amp;DATE($B$2,1,1),Compras!$C$2:$C$5000,"&lt;="&amp;DATE($B$2,12,31)),2))</f>
        <v/>
      </c>
      <c r="C45" s="25">
        <f>IF(OR($A45="",$B$6=0),"",$B45/$B$6)</f>
        <v/>
      </c>
      <c r="D45" s="10">
        <f>IF($A45="","",COUNTIFS(Compras!$F$2:$F$5000,$A45,Compras!$C$2:$C$5000,"&gt;="&amp;DATE($B$2,1,1),Compras!$C$2:$C$5000,"&lt;="&amp;DATE($B$2,12,31)))</f>
        <v/>
      </c>
    </row>
    <row r="46">
      <c r="A46" s="9">
        <f>IF(Listas!$A16="","",Listas!$A16)</f>
        <v/>
      </c>
      <c r="B46" s="24">
        <f>IF($A46="","",ROUND(SUMIFS(Compras!$L$2:$L$5000,Compras!$F$2:$F$5000,$A46,Compras!$C$2:$C$5000,"&gt;="&amp;DATE($B$2,1,1),Compras!$C$2:$C$5000,"&lt;="&amp;DATE($B$2,12,31)),2))</f>
        <v/>
      </c>
      <c r="C46" s="25">
        <f>IF(OR($A46="",$B$6=0),"",$B46/$B$6)</f>
        <v/>
      </c>
      <c r="D46" s="10">
        <f>IF($A46="","",COUNTIFS(Compras!$F$2:$F$5000,$A46,Compras!$C$2:$C$5000,"&gt;="&amp;DATE($B$2,1,1),Compras!$C$2:$C$5000,"&lt;="&amp;DATE($B$2,12,31)))</f>
        <v/>
      </c>
    </row>
    <row r="47">
      <c r="A47" s="9">
        <f>IF(Listas!$A17="","",Listas!$A17)</f>
        <v/>
      </c>
      <c r="B47" s="24">
        <f>IF($A47="","",ROUND(SUMIFS(Compras!$L$2:$L$5000,Compras!$F$2:$F$5000,$A47,Compras!$C$2:$C$5000,"&gt;="&amp;DATE($B$2,1,1),Compras!$C$2:$C$5000,"&lt;="&amp;DATE($B$2,12,31)),2))</f>
        <v/>
      </c>
      <c r="C47" s="25">
        <f>IF(OR($A47="",$B$6=0),"",$B47/$B$6)</f>
        <v/>
      </c>
      <c r="D47" s="10">
        <f>IF($A47="","",COUNTIFS(Compras!$F$2:$F$5000,$A47,Compras!$C$2:$C$5000,"&gt;="&amp;DATE($B$2,1,1),Compras!$C$2:$C$5000,"&lt;="&amp;DATE($B$2,12,31)))</f>
        <v/>
      </c>
    </row>
    <row r="48">
      <c r="A48" s="9">
        <f>IF(Listas!$A18="","",Listas!$A18)</f>
        <v/>
      </c>
      <c r="B48" s="24">
        <f>IF($A48="","",ROUND(SUMIFS(Compras!$L$2:$L$5000,Compras!$F$2:$F$5000,$A48,Compras!$C$2:$C$5000,"&gt;="&amp;DATE($B$2,1,1),Compras!$C$2:$C$5000,"&lt;="&amp;DATE($B$2,12,31)),2))</f>
        <v/>
      </c>
      <c r="C48" s="25">
        <f>IF(OR($A48="",$B$6=0),"",$B48/$B$6)</f>
        <v/>
      </c>
      <c r="D48" s="10">
        <f>IF($A48="","",COUNTIFS(Compras!$F$2:$F$5000,$A48,Compras!$C$2:$C$5000,"&gt;="&amp;DATE($B$2,1,1),Compras!$C$2:$C$5000,"&lt;="&amp;DATE($B$2,12,31)))</f>
        <v/>
      </c>
    </row>
    <row r="49">
      <c r="A49" s="9">
        <f>IF(Listas!$A19="","",Listas!$A19)</f>
        <v/>
      </c>
      <c r="B49" s="24">
        <f>IF($A49="","",ROUND(SUMIFS(Compras!$L$2:$L$5000,Compras!$F$2:$F$5000,$A49,Compras!$C$2:$C$5000,"&gt;="&amp;DATE($B$2,1,1),Compras!$C$2:$C$5000,"&lt;="&amp;DATE($B$2,12,31)),2))</f>
        <v/>
      </c>
      <c r="C49" s="25">
        <f>IF(OR($A49="",$B$6=0),"",$B49/$B$6)</f>
        <v/>
      </c>
      <c r="D49" s="10">
        <f>IF($A49="","",COUNTIFS(Compras!$F$2:$F$5000,$A49,Compras!$C$2:$C$5000,"&gt;="&amp;DATE($B$2,1,1),Compras!$C$2:$C$5000,"&lt;="&amp;DATE($B$2,12,31)))</f>
        <v/>
      </c>
    </row>
    <row r="50">
      <c r="A50" s="9">
        <f>IF(Listas!$A20="","",Listas!$A20)</f>
        <v/>
      </c>
      <c r="B50" s="24">
        <f>IF($A50="","",ROUND(SUMIFS(Compras!$L$2:$L$5000,Compras!$F$2:$F$5000,$A50,Compras!$C$2:$C$5000,"&gt;="&amp;DATE($B$2,1,1),Compras!$C$2:$C$5000,"&lt;="&amp;DATE($B$2,12,31)),2))</f>
        <v/>
      </c>
      <c r="C50" s="25">
        <f>IF(OR($A50="",$B$6=0),"",$B50/$B$6)</f>
        <v/>
      </c>
      <c r="D50" s="10">
        <f>IF($A50="","",COUNTIFS(Compras!$F$2:$F$5000,$A50,Compras!$C$2:$C$5000,"&gt;="&amp;DATE($B$2,1,1),Compras!$C$2:$C$5000,"&lt;="&amp;DATE($B$2,12,31)))</f>
        <v/>
      </c>
    </row>
    <row r="51">
      <c r="A51" s="9">
        <f>IF(Listas!$A21="","",Listas!$A21)</f>
        <v/>
      </c>
      <c r="B51" s="24">
        <f>IF($A51="","",ROUND(SUMIFS(Compras!$L$2:$L$5000,Compras!$F$2:$F$5000,$A51,Compras!$C$2:$C$5000,"&gt;="&amp;DATE($B$2,1,1),Compras!$C$2:$C$5000,"&lt;="&amp;DATE($B$2,12,31)),2))</f>
        <v/>
      </c>
      <c r="C51" s="25">
        <f>IF(OR($A51="",$B$6=0),"",$B51/$B$6)</f>
        <v/>
      </c>
      <c r="D51" s="10">
        <f>IF($A51="","",COUNTIFS(Compras!$F$2:$F$5000,$A51,Compras!$C$2:$C$5000,"&gt;="&amp;DATE($B$2,1,1),Compras!$C$2:$C$5000,"&lt;="&amp;DATE($B$2,12,31)))</f>
        <v/>
      </c>
    </row>
    <row r="52">
      <c r="A52" s="9">
        <f>IF(Listas!$A22="","",Listas!$A22)</f>
        <v/>
      </c>
      <c r="B52" s="24">
        <f>IF($A52="","",ROUND(SUMIFS(Compras!$L$2:$L$5000,Compras!$F$2:$F$5000,$A52,Compras!$C$2:$C$5000,"&gt;="&amp;DATE($B$2,1,1),Compras!$C$2:$C$5000,"&lt;="&amp;DATE($B$2,12,31)),2))</f>
        <v/>
      </c>
      <c r="C52" s="25">
        <f>IF(OR($A52="",$B$6=0),"",$B52/$B$6)</f>
        <v/>
      </c>
      <c r="D52" s="10">
        <f>IF($A52="","",COUNTIFS(Compras!$F$2:$F$5000,$A52,Compras!$C$2:$C$5000,"&gt;="&amp;DATE($B$2,1,1),Compras!$C$2:$C$5000,"&lt;="&amp;DATE($B$2,12,31)))</f>
        <v/>
      </c>
    </row>
    <row r="53">
      <c r="A53" s="9">
        <f>IF(Listas!$A23="","",Listas!$A23)</f>
        <v/>
      </c>
      <c r="B53" s="24">
        <f>IF($A53="","",ROUND(SUMIFS(Compras!$L$2:$L$5000,Compras!$F$2:$F$5000,$A53,Compras!$C$2:$C$5000,"&gt;="&amp;DATE($B$2,1,1),Compras!$C$2:$C$5000,"&lt;="&amp;DATE($B$2,12,31)),2))</f>
        <v/>
      </c>
      <c r="C53" s="25">
        <f>IF(OR($A53="",$B$6=0),"",$B53/$B$6)</f>
        <v/>
      </c>
      <c r="D53" s="10">
        <f>IF($A53="","",COUNTIFS(Compras!$F$2:$F$5000,$A53,Compras!$C$2:$C$5000,"&gt;="&amp;DATE($B$2,1,1),Compras!$C$2:$C$5000,"&lt;="&amp;DATE($B$2,12,31)))</f>
        <v/>
      </c>
    </row>
    <row r="54">
      <c r="A54" s="9">
        <f>IF(Listas!$A24="","",Listas!$A24)</f>
        <v/>
      </c>
      <c r="B54" s="24">
        <f>IF($A54="","",ROUND(SUMIFS(Compras!$L$2:$L$5000,Compras!$F$2:$F$5000,$A54,Compras!$C$2:$C$5000,"&gt;="&amp;DATE($B$2,1,1),Compras!$C$2:$C$5000,"&lt;="&amp;DATE($B$2,12,31)),2))</f>
        <v/>
      </c>
      <c r="C54" s="25">
        <f>IF(OR($A54="",$B$6=0),"",$B54/$B$6)</f>
        <v/>
      </c>
      <c r="D54" s="10">
        <f>IF($A54="","",COUNTIFS(Compras!$F$2:$F$5000,$A54,Compras!$C$2:$C$5000,"&gt;="&amp;DATE($B$2,1,1),Compras!$C$2:$C$5000,"&lt;="&amp;DATE($B$2,12,31)))</f>
        <v/>
      </c>
    </row>
    <row r="55">
      <c r="A55" s="9">
        <f>IF(Listas!$A25="","",Listas!$A25)</f>
        <v/>
      </c>
      <c r="B55" s="24">
        <f>IF($A55="","",ROUND(SUMIFS(Compras!$L$2:$L$5000,Compras!$F$2:$F$5000,$A55,Compras!$C$2:$C$5000,"&gt;="&amp;DATE($B$2,1,1),Compras!$C$2:$C$5000,"&lt;="&amp;DATE($B$2,12,31)),2))</f>
        <v/>
      </c>
      <c r="C55" s="25">
        <f>IF(OR($A55="",$B$6=0),"",$B55/$B$6)</f>
        <v/>
      </c>
      <c r="D55" s="10">
        <f>IF($A55="","",COUNTIFS(Compras!$F$2:$F$5000,$A55,Compras!$C$2:$C$5000,"&gt;="&amp;DATE($B$2,1,1),Compras!$C$2:$C$5000,"&lt;="&amp;DATE($B$2,12,31)))</f>
        <v/>
      </c>
    </row>
    <row r="56">
      <c r="A56" s="2" t="inlineStr">
        <is>
          <t>Sin clasificar</t>
        </is>
      </c>
      <c r="B56" s="28">
        <f>ROUND(SUMIFS(Compras!$L$2:$L$5000,Compras!$C$2:$C$5000,"&gt;="&amp;DATE($B$2,1,1),Compras!$C$2:$C$5000,"&lt;="&amp;DATE($B$2,12,31),Compras!$F$2:$F$5000,""),2)</f>
        <v/>
      </c>
      <c r="C56" s="29">
        <f>IF($B$6=0,0,$B56/$B$6)</f>
        <v/>
      </c>
      <c r="D56" s="18">
        <f>COUNTIFS(Compras!$C$2:$C$5000,"&gt;="&amp;DATE($B$2,1,1),Compras!$C$2:$C$5000,"&lt;="&amp;DATE($B$2,12,31),Compras!$F$2:$F$5000,"")</f>
        <v/>
      </c>
    </row>
    <row r="57">
      <c r="A57" s="2" t="inlineStr">
        <is>
          <t>TOTAL</t>
        </is>
      </c>
      <c r="B57" s="26">
        <f>SUM(B32:B56)</f>
        <v/>
      </c>
      <c r="C57" s="27">
        <f>SUM(C32:C56)</f>
        <v/>
      </c>
      <c r="D57" s="13">
        <f>SUM(D32:D56)</f>
        <v/>
      </c>
    </row>
    <row r="59">
      <c r="A59" s="5" t="inlineStr">
        <is>
          <t>GASTO POR FORMA DE PAGO</t>
        </is>
      </c>
    </row>
    <row r="60" ht="30" customHeight="1">
      <c r="A60" s="8" t="inlineStr">
        <is>
          <t>Forma de pago</t>
        </is>
      </c>
      <c r="B60" s="8" t="inlineStr">
        <is>
          <t>Gasto</t>
        </is>
      </c>
      <c r="C60" s="8" t="inlineStr">
        <is>
          <t>% del ejercicio</t>
        </is>
      </c>
    </row>
    <row r="61">
      <c r="A61" s="9">
        <f>IF(Listas!$B2="","",Listas!$B2)</f>
        <v/>
      </c>
      <c r="B61" s="24">
        <f>IF($A61="","",ROUND(SUMIFS(Compras!$L$2:$L$5000,Compras!$O$2:$O$5000,$A61,Compras!$C$2:$C$5000,"&gt;="&amp;DATE($B$2,1,1),Compras!$C$2:$C$5000,"&lt;="&amp;DATE($B$2,12,31)),2))</f>
        <v/>
      </c>
      <c r="C61" s="25">
        <f>IF(OR($A61="",$B$6=0),"",$B61/$B$6)</f>
        <v/>
      </c>
    </row>
    <row r="62">
      <c r="A62" s="9">
        <f>IF(Listas!$B3="","",Listas!$B3)</f>
        <v/>
      </c>
      <c r="B62" s="24">
        <f>IF($A62="","",ROUND(SUMIFS(Compras!$L$2:$L$5000,Compras!$O$2:$O$5000,$A62,Compras!$C$2:$C$5000,"&gt;="&amp;DATE($B$2,1,1),Compras!$C$2:$C$5000,"&lt;="&amp;DATE($B$2,12,31)),2))</f>
        <v/>
      </c>
      <c r="C62" s="25">
        <f>IF(OR($A62="",$B$6=0),"",$B62/$B$6)</f>
        <v/>
      </c>
    </row>
    <row r="63">
      <c r="A63" s="9">
        <f>IF(Listas!$B4="","",Listas!$B4)</f>
        <v/>
      </c>
      <c r="B63" s="24">
        <f>IF($A63="","",ROUND(SUMIFS(Compras!$L$2:$L$5000,Compras!$O$2:$O$5000,$A63,Compras!$C$2:$C$5000,"&gt;="&amp;DATE($B$2,1,1),Compras!$C$2:$C$5000,"&lt;="&amp;DATE($B$2,12,31)),2))</f>
        <v/>
      </c>
      <c r="C63" s="25">
        <f>IF(OR($A63="",$B$6=0),"",$B63/$B$6)</f>
        <v/>
      </c>
    </row>
    <row r="64">
      <c r="A64" s="9">
        <f>IF(Listas!$B5="","",Listas!$B5)</f>
        <v/>
      </c>
      <c r="B64" s="24">
        <f>IF($A64="","",ROUND(SUMIFS(Compras!$L$2:$L$5000,Compras!$O$2:$O$5000,$A64,Compras!$C$2:$C$5000,"&gt;="&amp;DATE($B$2,1,1),Compras!$C$2:$C$5000,"&lt;="&amp;DATE($B$2,12,31)),2))</f>
        <v/>
      </c>
      <c r="C64" s="25">
        <f>IF(OR($A64="",$B$6=0),"",$B64/$B$6)</f>
        <v/>
      </c>
    </row>
    <row r="65">
      <c r="A65" s="9">
        <f>IF(Listas!$B6="","",Listas!$B6)</f>
        <v/>
      </c>
      <c r="B65" s="24">
        <f>IF($A65="","",ROUND(SUMIFS(Compras!$L$2:$L$5000,Compras!$O$2:$O$5000,$A65,Compras!$C$2:$C$5000,"&gt;="&amp;DATE($B$2,1,1),Compras!$C$2:$C$5000,"&lt;="&amp;DATE($B$2,12,31)),2))</f>
        <v/>
      </c>
      <c r="C65" s="25">
        <f>IF(OR($A65="",$B$6=0),"",$B65/$B$6)</f>
        <v/>
      </c>
    </row>
    <row r="66">
      <c r="A66" s="9">
        <f>IF(Listas!$B7="","",Listas!$B7)</f>
        <v/>
      </c>
      <c r="B66" s="24">
        <f>IF($A66="","",ROUND(SUMIFS(Compras!$L$2:$L$5000,Compras!$O$2:$O$5000,$A66,Compras!$C$2:$C$5000,"&gt;="&amp;DATE($B$2,1,1),Compras!$C$2:$C$5000,"&lt;="&amp;DATE($B$2,12,31)),2))</f>
        <v/>
      </c>
      <c r="C66" s="25">
        <f>IF(OR($A66="",$B$6=0),"",$B66/$B$6)</f>
        <v/>
      </c>
    </row>
    <row r="67">
      <c r="A67" s="9">
        <f>IF(Listas!$B8="","",Listas!$B8)</f>
        <v/>
      </c>
      <c r="B67" s="24">
        <f>IF($A67="","",ROUND(SUMIFS(Compras!$L$2:$L$5000,Compras!$O$2:$O$5000,$A67,Compras!$C$2:$C$5000,"&gt;="&amp;DATE($B$2,1,1),Compras!$C$2:$C$5000,"&lt;="&amp;DATE($B$2,12,31)),2))</f>
        <v/>
      </c>
      <c r="C67" s="25">
        <f>IF(OR($A67="",$B$6=0),"",$B67/$B$6)</f>
        <v/>
      </c>
    </row>
    <row r="68">
      <c r="A68" s="9">
        <f>IF(Listas!$B9="","",Listas!$B9)</f>
        <v/>
      </c>
      <c r="B68" s="24">
        <f>IF($A68="","",ROUND(SUMIFS(Compras!$L$2:$L$5000,Compras!$O$2:$O$5000,$A68,Compras!$C$2:$C$5000,"&gt;="&amp;DATE($B$2,1,1),Compras!$C$2:$C$5000,"&lt;="&amp;DATE($B$2,12,31)),2))</f>
        <v/>
      </c>
      <c r="C68" s="25">
        <f>IF(OR($A68="",$B$6=0),"",$B68/$B$6)</f>
        <v/>
      </c>
    </row>
    <row r="69">
      <c r="A69" s="9">
        <f>IF(Listas!$B10="","",Listas!$B10)</f>
        <v/>
      </c>
      <c r="B69" s="24">
        <f>IF($A69="","",ROUND(SUMIFS(Compras!$L$2:$L$5000,Compras!$O$2:$O$5000,$A69,Compras!$C$2:$C$5000,"&gt;="&amp;DATE($B$2,1,1),Compras!$C$2:$C$5000,"&lt;="&amp;DATE($B$2,12,31)),2))</f>
        <v/>
      </c>
      <c r="C69" s="25">
        <f>IF(OR($A69="",$B$6=0),"",$B69/$B$6)</f>
        <v/>
      </c>
    </row>
    <row r="70">
      <c r="A70" s="9">
        <f>IF(Listas!$B11="","",Listas!$B11)</f>
        <v/>
      </c>
      <c r="B70" s="24">
        <f>IF($A70="","",ROUND(SUMIFS(Compras!$L$2:$L$5000,Compras!$O$2:$O$5000,$A70,Compras!$C$2:$C$5000,"&gt;="&amp;DATE($B$2,1,1),Compras!$C$2:$C$5000,"&lt;="&amp;DATE($B$2,12,31)),2))</f>
        <v/>
      </c>
      <c r="C70" s="25">
        <f>IF(OR($A70="",$B$6=0),"",$B70/$B$6)</f>
        <v/>
      </c>
    </row>
    <row r="71">
      <c r="A71" s="9">
        <f>IF(Listas!$B12="","",Listas!$B12)</f>
        <v/>
      </c>
      <c r="B71" s="24">
        <f>IF($A71="","",ROUND(SUMIFS(Compras!$L$2:$L$5000,Compras!$O$2:$O$5000,$A71,Compras!$C$2:$C$5000,"&gt;="&amp;DATE($B$2,1,1),Compras!$C$2:$C$5000,"&lt;="&amp;DATE($B$2,12,31)),2))</f>
        <v/>
      </c>
      <c r="C71" s="25">
        <f>IF(OR($A71="",$B$6=0),"",$B71/$B$6)</f>
        <v/>
      </c>
    </row>
    <row r="72">
      <c r="A72" s="9">
        <f>IF(Listas!$B13="","",Listas!$B13)</f>
        <v/>
      </c>
      <c r="B72" s="24">
        <f>IF($A72="","",ROUND(SUMIFS(Compras!$L$2:$L$5000,Compras!$O$2:$O$5000,$A72,Compras!$C$2:$C$5000,"&gt;="&amp;DATE($B$2,1,1),Compras!$C$2:$C$5000,"&lt;="&amp;DATE($B$2,12,31)),2))</f>
        <v/>
      </c>
      <c r="C72" s="25">
        <f>IF(OR($A72="",$B$6=0),"",$B72/$B$6)</f>
        <v/>
      </c>
    </row>
    <row r="73">
      <c r="A73" s="9">
        <f>IF(Listas!$B14="","",Listas!$B14)</f>
        <v/>
      </c>
      <c r="B73" s="24">
        <f>IF($A73="","",ROUND(SUMIFS(Compras!$L$2:$L$5000,Compras!$O$2:$O$5000,$A73,Compras!$C$2:$C$5000,"&gt;="&amp;DATE($B$2,1,1),Compras!$C$2:$C$5000,"&lt;="&amp;DATE($B$2,12,31)),2))</f>
        <v/>
      </c>
      <c r="C73" s="25">
        <f>IF(OR($A73="",$B$6=0),"",$B73/$B$6)</f>
        <v/>
      </c>
    </row>
    <row r="74">
      <c r="A74" s="9">
        <f>IF(Listas!$B15="","",Listas!$B15)</f>
        <v/>
      </c>
      <c r="B74" s="24">
        <f>IF($A74="","",ROUND(SUMIFS(Compras!$L$2:$L$5000,Compras!$O$2:$O$5000,$A74,Compras!$C$2:$C$5000,"&gt;="&amp;DATE($B$2,1,1),Compras!$C$2:$C$5000,"&lt;="&amp;DATE($B$2,12,31)),2))</f>
        <v/>
      </c>
      <c r="C74" s="25">
        <f>IF(OR($A74="",$B$6=0),"",$B74/$B$6)</f>
        <v/>
      </c>
    </row>
    <row r="75">
      <c r="A75" s="2" t="inlineStr">
        <is>
          <t>TOTAL</t>
        </is>
      </c>
      <c r="B75" s="26">
        <f>SUM(B61:B74)</f>
        <v/>
      </c>
    </row>
    <row r="77">
      <c r="A77" s="19" t="inlineStr">
        <is>
          <t>Celdas amarillas = parametros editables (ejercicio y moneda).</t>
        </is>
      </c>
    </row>
  </sheetData>
  <conditionalFormatting sqref="B11">
    <cfRule type="expression" priority="1" dxfId="0">
      <formula>B11&gt;0</formula>
    </cfRule>
    <cfRule type="expression" priority="2" dxfId="1">
      <formula>B11=0</formula>
    </cfRule>
  </conditionalFormatting>
  <conditionalFormatting sqref="B12">
    <cfRule type="expression" priority="3" dxfId="0">
      <formula>B12&gt;0</formula>
    </cfRule>
    <cfRule type="expression" priority="4" dxfId="1">
      <formula>B12=0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9" customWidth="1" min="4" max="4"/>
    <col width="22" customWidth="1" min="5" max="5"/>
    <col width="22" customWidth="1" min="6" max="6"/>
    <col width="34" customWidth="1" min="7" max="7"/>
    <col width="8" customWidth="1" min="8" max="8"/>
    <col width="8" customWidth="1" min="9" max="9"/>
    <col width="12" customWidth="1" min="10" max="10"/>
    <col width="11" customWidth="1" min="11" max="11"/>
    <col width="12" customWidth="1" min="12" max="12"/>
    <col width="8" customWidth="1" min="13" max="13"/>
    <col width="11" customWidth="1" min="14" max="14"/>
    <col width="16" customWidth="1" min="15" max="15"/>
    <col width="9" customWidth="1" min="16" max="16"/>
    <col width="14" customWidth="1" min="17" max="17"/>
    <col width="26" customWidth="1" min="18" max="18"/>
    <col width="30" customWidth="1" min="19" max="19"/>
  </cols>
  <sheetData>
    <row r="1" ht="30" customHeight="1">
      <c r="A1" s="8" t="inlineStr">
        <is>
          <t>ID ticket</t>
        </is>
      </c>
      <c r="B1" s="8" t="inlineStr">
        <is>
          <t>Linea</t>
        </is>
      </c>
      <c r="C1" s="8" t="inlineStr">
        <is>
          <t>Fecha</t>
        </is>
      </c>
      <c r="D1" s="8" t="inlineStr">
        <is>
          <t>Mes</t>
        </is>
      </c>
      <c r="E1" s="8" t="inlineStr">
        <is>
          <t>Comercio</t>
        </is>
      </c>
      <c r="F1" s="8" t="inlineStr">
        <is>
          <t>Categoria</t>
        </is>
      </c>
      <c r="G1" s="8" t="inlineStr">
        <is>
          <t>Descripcion</t>
        </is>
      </c>
      <c r="H1" s="8" t="inlineStr">
        <is>
          <t>Cant.</t>
        </is>
      </c>
      <c r="I1" s="8" t="inlineStr">
        <is>
          <t>Unid.</t>
        </is>
      </c>
      <c r="J1" s="8" t="inlineStr">
        <is>
          <t>Precio unit.</t>
        </is>
      </c>
      <c r="K1" s="8" t="inlineStr">
        <is>
          <t>Descuento</t>
        </is>
      </c>
      <c r="L1" s="8" t="inlineStr">
        <is>
          <t>Importe</t>
        </is>
      </c>
      <c r="M1" s="8" t="inlineStr">
        <is>
          <t>IVA %</t>
        </is>
      </c>
      <c r="N1" s="8" t="inlineStr">
        <is>
          <t>IVA $</t>
        </is>
      </c>
      <c r="O1" s="8" t="inlineStr">
        <is>
          <t>Forma de pago</t>
        </is>
      </c>
      <c r="P1" s="8" t="inlineStr">
        <is>
          <t>Moneda</t>
        </is>
      </c>
      <c r="Q1" s="8" t="inlineStr">
        <is>
          <t>N. ticket</t>
        </is>
      </c>
      <c r="R1" s="8" t="inlineStr">
        <is>
          <t>Archivo</t>
        </is>
      </c>
      <c r="S1" s="8" t="inlineStr">
        <is>
          <t>Notas</t>
        </is>
      </c>
      <c r="U1" s="19" t="inlineStr">
        <is>
          <t>Escribe o pega aqui una fila por producto del ticket. 'Mes', 'Importe' e 'IVA $' se calculan solos.</t>
        </is>
      </c>
    </row>
    <row r="2">
      <c r="A2" s="9" t="inlineStr">
        <is>
          <t>TK-0001</t>
        </is>
      </c>
      <c r="B2" s="9" t="n">
        <v>1</v>
      </c>
      <c r="C2" s="30" t="n">
        <v>46307</v>
      </c>
      <c r="D2" s="9">
        <f>IF($C2="","",YEAR($C2)&amp;"-"&amp;TEXT(MONTH($C2),"00"))</f>
        <v/>
      </c>
      <c r="E2" s="9" t="inlineStr">
        <is>
          <t>Buenas Migas</t>
        </is>
      </c>
      <c r="F2" s="9" t="inlineStr">
        <is>
          <t>Panaderia</t>
        </is>
      </c>
      <c r="G2" s="9" t="inlineStr">
        <is>
          <t>Cafe Cortado Jarrita</t>
        </is>
      </c>
      <c r="H2" s="24" t="n">
        <v>1</v>
      </c>
      <c r="I2" s="9" t="inlineStr">
        <is>
          <t>ud</t>
        </is>
      </c>
      <c r="J2" s="24" t="n">
        <v>3000</v>
      </c>
      <c r="K2" s="24" t="n">
        <v>0</v>
      </c>
      <c r="L2" s="24">
        <f>IF($H2="","",ROUND($H2*$J2-N($K2),2))</f>
        <v/>
      </c>
      <c r="M2" s="31" t="n"/>
      <c r="N2" s="24">
        <f>IF(OR($L2="",$M2=""),"",ROUND($L2-$L2/(1+$M2/100),2))</f>
        <v/>
      </c>
      <c r="O2" s="9" t="inlineStr">
        <is>
          <t>Tarjeta debito</t>
        </is>
      </c>
      <c r="P2" s="9" t="inlineStr">
        <is>
          <t>ARS</t>
        </is>
      </c>
      <c r="Q2" s="9" t="inlineStr">
        <is>
          <t>-</t>
        </is>
      </c>
      <c r="R2" s="9" t="n"/>
      <c r="S2" s="9" t="inlineStr"/>
    </row>
    <row r="3">
      <c r="A3" s="9" t="inlineStr">
        <is>
          <t>TK-0001</t>
        </is>
      </c>
      <c r="B3" s="9" t="n">
        <v>2</v>
      </c>
      <c r="C3" s="30" t="n">
        <v>46307</v>
      </c>
      <c r="D3" s="9">
        <f>IF($C3="","",YEAR($C3)&amp;"-"&amp;TEXT(MONTH($C3),"00"))</f>
        <v/>
      </c>
      <c r="E3" s="9" t="inlineStr">
        <is>
          <t>Buenas Migas</t>
        </is>
      </c>
      <c r="F3" s="9" t="inlineStr">
        <is>
          <t>Panaderia</t>
        </is>
      </c>
      <c r="G3" s="9" t="inlineStr">
        <is>
          <t>Cafe Cortado Doble</t>
        </is>
      </c>
      <c r="H3" s="24" t="n">
        <v>2</v>
      </c>
      <c r="I3" s="9" t="inlineStr">
        <is>
          <t>ud</t>
        </is>
      </c>
      <c r="J3" s="24" t="n">
        <v>3500</v>
      </c>
      <c r="K3" s="24" t="n">
        <v>0</v>
      </c>
      <c r="L3" s="24">
        <f>IF($H3="","",ROUND($H3*$J3-N($K3),2))</f>
        <v/>
      </c>
      <c r="M3" s="31" t="n"/>
      <c r="N3" s="24">
        <f>IF(OR($L3="",$M3=""),"",ROUND($L3-$L3/(1+$M3/100),2))</f>
        <v/>
      </c>
      <c r="O3" s="9" t="inlineStr">
        <is>
          <t>Tarjeta debito</t>
        </is>
      </c>
      <c r="P3" s="9" t="inlineStr">
        <is>
          <t>ARS</t>
        </is>
      </c>
      <c r="Q3" s="9" t="inlineStr">
        <is>
          <t>-</t>
        </is>
      </c>
      <c r="R3" s="9" t="n"/>
      <c r="S3" s="9" t="inlineStr"/>
    </row>
    <row r="4">
      <c r="A4" s="9" t="inlineStr">
        <is>
          <t>TK-0001</t>
        </is>
      </c>
      <c r="B4" s="9" t="n">
        <v>3</v>
      </c>
      <c r="C4" s="30" t="n">
        <v>46307</v>
      </c>
      <c r="D4" s="9">
        <f>IF($C4="","",YEAR($C4)&amp;"-"&amp;TEXT(MONTH($C4),"00"))</f>
        <v/>
      </c>
      <c r="E4" s="9" t="inlineStr">
        <is>
          <t>Buenas Migas</t>
        </is>
      </c>
      <c r="F4" s="9" t="inlineStr">
        <is>
          <t>Panaderia</t>
        </is>
      </c>
      <c r="G4" s="9" t="inlineStr">
        <is>
          <t>Chocolatada</t>
        </is>
      </c>
      <c r="H4" s="24" t="n">
        <v>1</v>
      </c>
      <c r="I4" s="9" t="inlineStr">
        <is>
          <t>ud</t>
        </is>
      </c>
      <c r="J4" s="24" t="n">
        <v>3500</v>
      </c>
      <c r="K4" s="24" t="n">
        <v>0</v>
      </c>
      <c r="L4" s="24">
        <f>IF($H4="","",ROUND($H4*$J4-N($K4),2))</f>
        <v/>
      </c>
      <c r="M4" s="31" t="n"/>
      <c r="N4" s="24">
        <f>IF(OR($L4="",$M4=""),"",ROUND($L4-$L4/(1+$M4/100),2))</f>
        <v/>
      </c>
      <c r="O4" s="9" t="inlineStr">
        <is>
          <t>Tarjeta debito</t>
        </is>
      </c>
      <c r="P4" s="9" t="inlineStr">
        <is>
          <t>ARS</t>
        </is>
      </c>
      <c r="Q4" s="9" t="inlineStr">
        <is>
          <t>-</t>
        </is>
      </c>
      <c r="R4" s="9" t="n"/>
      <c r="S4" s="9" t="inlineStr"/>
    </row>
    <row r="5">
      <c r="A5" s="9" t="inlineStr">
        <is>
          <t>TK-0001</t>
        </is>
      </c>
      <c r="B5" s="9" t="n">
        <v>4</v>
      </c>
      <c r="C5" s="30" t="n">
        <v>46307</v>
      </c>
      <c r="D5" s="9">
        <f>IF($C5="","",YEAR($C5)&amp;"-"&amp;TEXT(MONTH($C5),"00"))</f>
        <v/>
      </c>
      <c r="E5" s="9" t="inlineStr">
        <is>
          <t>Buenas Migas</t>
        </is>
      </c>
      <c r="F5" s="9" t="inlineStr">
        <is>
          <t>Panaderia</t>
        </is>
      </c>
      <c r="G5" s="9" t="inlineStr">
        <is>
          <t>Medialuna de Jamón y Queso</t>
        </is>
      </c>
      <c r="H5" s="24" t="n">
        <v>1</v>
      </c>
      <c r="I5" s="9" t="inlineStr">
        <is>
          <t>ud</t>
        </is>
      </c>
      <c r="J5" s="24" t="n">
        <v>3000</v>
      </c>
      <c r="K5" s="24" t="n">
        <v>0</v>
      </c>
      <c r="L5" s="24">
        <f>IF($H5="","",ROUND($H5*$J5-N($K5),2))</f>
        <v/>
      </c>
      <c r="M5" s="31" t="n"/>
      <c r="N5" s="24">
        <f>IF(OR($L5="",$M5=""),"",ROUND($L5-$L5/(1+$M5/100),2))</f>
        <v/>
      </c>
      <c r="O5" s="9" t="inlineStr">
        <is>
          <t>Tarjeta debito</t>
        </is>
      </c>
      <c r="P5" s="9" t="inlineStr">
        <is>
          <t>ARS</t>
        </is>
      </c>
      <c r="Q5" s="9" t="inlineStr">
        <is>
          <t>-</t>
        </is>
      </c>
      <c r="R5" s="9" t="n"/>
      <c r="S5" s="9" t="inlineStr"/>
    </row>
    <row r="6">
      <c r="A6" s="9" t="inlineStr">
        <is>
          <t>TK-0001</t>
        </is>
      </c>
      <c r="B6" s="9" t="n">
        <v>5</v>
      </c>
      <c r="C6" s="30" t="n">
        <v>46307</v>
      </c>
      <c r="D6" s="9">
        <f>IF($C6="","",YEAR($C6)&amp;"-"&amp;TEXT(MONTH($C6),"00"))</f>
        <v/>
      </c>
      <c r="E6" s="9" t="inlineStr">
        <is>
          <t>Buenas Migas</t>
        </is>
      </c>
      <c r="F6" s="9" t="inlineStr">
        <is>
          <t>Panaderia</t>
        </is>
      </c>
      <c r="G6" s="9" t="inlineStr">
        <is>
          <t>Masas</t>
        </is>
      </c>
      <c r="H6" s="24" t="n">
        <v>1</v>
      </c>
      <c r="I6" s="9" t="inlineStr">
        <is>
          <t>ud</t>
        </is>
      </c>
      <c r="J6" s="24" t="n">
        <v>1920</v>
      </c>
      <c r="K6" s="24" t="n">
        <v>0</v>
      </c>
      <c r="L6" s="24">
        <f>IF($H6="","",ROUND($H6*$J6-N($K6),2))</f>
        <v/>
      </c>
      <c r="M6" s="31" t="n"/>
      <c r="N6" s="24">
        <f>IF(OR($L6="",$M6=""),"",ROUND($L6-$L6/(1+$M6/100),2))</f>
        <v/>
      </c>
      <c r="O6" s="9" t="inlineStr">
        <is>
          <t>Tarjeta debito</t>
        </is>
      </c>
      <c r="P6" s="9" t="inlineStr">
        <is>
          <t>ARS</t>
        </is>
      </c>
      <c r="Q6" s="9" t="inlineStr">
        <is>
          <t>-</t>
        </is>
      </c>
      <c r="R6" s="9" t="n"/>
      <c r="S6" s="9" t="inlineStr"/>
    </row>
    <row r="7">
      <c r="A7" s="9" t="n"/>
      <c r="B7" s="9" t="n"/>
      <c r="C7" s="30" t="n"/>
      <c r="D7" s="9">
        <f>IF($C7="","",YEAR($C7)&amp;"-"&amp;TEXT(MONTH($C7),"00"))</f>
        <v/>
      </c>
      <c r="E7" s="9" t="n"/>
      <c r="F7" s="9" t="n"/>
      <c r="G7" s="9" t="n"/>
      <c r="H7" s="24" t="n"/>
      <c r="I7" s="9" t="n"/>
      <c r="J7" s="24" t="n"/>
      <c r="K7" s="24" t="n"/>
      <c r="L7" s="24">
        <f>IF($H7="","",ROUND($H7*$J7-N($K7),2))</f>
        <v/>
      </c>
      <c r="M7" s="31" t="n"/>
      <c r="N7" s="24">
        <f>IF(OR($L7="",$M7=""),"",ROUND($L7-$L7/(1+$M7/100),2))</f>
        <v/>
      </c>
      <c r="O7" s="9" t="n"/>
      <c r="P7" s="9" t="n"/>
      <c r="Q7" s="9" t="n"/>
      <c r="R7" s="9" t="n"/>
      <c r="S7" s="9" t="n"/>
    </row>
    <row r="8">
      <c r="A8" s="9" t="n"/>
      <c r="B8" s="9" t="n"/>
      <c r="C8" s="30" t="n"/>
      <c r="D8" s="9">
        <f>IF($C8="","",YEAR($C8)&amp;"-"&amp;TEXT(MONTH($C8),"00"))</f>
        <v/>
      </c>
      <c r="E8" s="9" t="n"/>
      <c r="F8" s="9" t="n"/>
      <c r="G8" s="9" t="n"/>
      <c r="H8" s="24" t="n"/>
      <c r="I8" s="9" t="n"/>
      <c r="J8" s="24" t="n"/>
      <c r="K8" s="24" t="n"/>
      <c r="L8" s="24">
        <f>IF($H8="","",ROUND($H8*$J8-N($K8),2))</f>
        <v/>
      </c>
      <c r="M8" s="31" t="n"/>
      <c r="N8" s="24">
        <f>IF(OR($L8="",$M8=""),"",ROUND($L8-$L8/(1+$M8/100),2))</f>
        <v/>
      </c>
      <c r="O8" s="9" t="n"/>
      <c r="P8" s="9" t="n"/>
      <c r="Q8" s="9" t="n"/>
      <c r="R8" s="9" t="n"/>
      <c r="S8" s="9" t="n"/>
    </row>
    <row r="9">
      <c r="A9" s="9" t="n"/>
      <c r="B9" s="9" t="n"/>
      <c r="C9" s="30" t="n"/>
      <c r="D9" s="9">
        <f>IF($C9="","",YEAR($C9)&amp;"-"&amp;TEXT(MONTH($C9),"00"))</f>
        <v/>
      </c>
      <c r="E9" s="9" t="n"/>
      <c r="F9" s="9" t="n"/>
      <c r="G9" s="9" t="n"/>
      <c r="H9" s="24" t="n"/>
      <c r="I9" s="9" t="n"/>
      <c r="J9" s="24" t="n"/>
      <c r="K9" s="24" t="n"/>
      <c r="L9" s="24">
        <f>IF($H9="","",ROUND($H9*$J9-N($K9),2))</f>
        <v/>
      </c>
      <c r="M9" s="31" t="n"/>
      <c r="N9" s="24">
        <f>IF(OR($L9="",$M9=""),"",ROUND($L9-$L9/(1+$M9/100),2))</f>
        <v/>
      </c>
      <c r="O9" s="9" t="n"/>
      <c r="P9" s="9" t="n"/>
      <c r="Q9" s="9" t="n"/>
      <c r="R9" s="9" t="n"/>
      <c r="S9" s="9" t="n"/>
    </row>
    <row r="10">
      <c r="A10" s="9" t="n"/>
      <c r="B10" s="9" t="n"/>
      <c r="C10" s="30" t="n"/>
      <c r="D10" s="9">
        <f>IF($C10="","",YEAR($C10)&amp;"-"&amp;TEXT(MONTH($C10),"00"))</f>
        <v/>
      </c>
      <c r="E10" s="9" t="n"/>
      <c r="F10" s="9" t="n"/>
      <c r="G10" s="9" t="n"/>
      <c r="H10" s="24" t="n"/>
      <c r="I10" s="9" t="n"/>
      <c r="J10" s="24" t="n"/>
      <c r="K10" s="24" t="n"/>
      <c r="L10" s="24">
        <f>IF($H10="","",ROUND($H10*$J10-N($K10),2))</f>
        <v/>
      </c>
      <c r="M10" s="31" t="n"/>
      <c r="N10" s="24">
        <f>IF(OR($L10="",$M10=""),"",ROUND($L10-$L10/(1+$M10/100),2))</f>
        <v/>
      </c>
      <c r="O10" s="9" t="n"/>
      <c r="P10" s="9" t="n"/>
      <c r="Q10" s="9" t="n"/>
      <c r="R10" s="9" t="n"/>
      <c r="S10" s="9" t="n"/>
    </row>
    <row r="11">
      <c r="A11" s="9" t="n"/>
      <c r="B11" s="9" t="n"/>
      <c r="C11" s="30" t="n"/>
      <c r="D11" s="9">
        <f>IF($C11="","",YEAR($C11)&amp;"-"&amp;TEXT(MONTH($C11),"00"))</f>
        <v/>
      </c>
      <c r="E11" s="9" t="n"/>
      <c r="F11" s="9" t="n"/>
      <c r="G11" s="9" t="n"/>
      <c r="H11" s="24" t="n"/>
      <c r="I11" s="9" t="n"/>
      <c r="J11" s="24" t="n"/>
      <c r="K11" s="24" t="n"/>
      <c r="L11" s="24">
        <f>IF($H11="","",ROUND($H11*$J11-N($K11),2))</f>
        <v/>
      </c>
      <c r="M11" s="31" t="n"/>
      <c r="N11" s="24">
        <f>IF(OR($L11="",$M11=""),"",ROUND($L11-$L11/(1+$M11/100),2))</f>
        <v/>
      </c>
      <c r="O11" s="9" t="n"/>
      <c r="P11" s="9" t="n"/>
      <c r="Q11" s="9" t="n"/>
      <c r="R11" s="9" t="n"/>
      <c r="S11" s="9" t="n"/>
    </row>
    <row r="12">
      <c r="A12" s="9" t="n"/>
      <c r="B12" s="9" t="n"/>
      <c r="C12" s="30" t="n"/>
      <c r="D12" s="9">
        <f>IF($C12="","",YEAR($C12)&amp;"-"&amp;TEXT(MONTH($C12),"00"))</f>
        <v/>
      </c>
      <c r="E12" s="9" t="n"/>
      <c r="F12" s="9" t="n"/>
      <c r="G12" s="9" t="n"/>
      <c r="H12" s="24" t="n"/>
      <c r="I12" s="9" t="n"/>
      <c r="J12" s="24" t="n"/>
      <c r="K12" s="24" t="n"/>
      <c r="L12" s="24">
        <f>IF($H12="","",ROUND($H12*$J12-N($K12),2))</f>
        <v/>
      </c>
      <c r="M12" s="31" t="n"/>
      <c r="N12" s="24">
        <f>IF(OR($L12="",$M12=""),"",ROUND($L12-$L12/(1+$M12/100),2))</f>
        <v/>
      </c>
      <c r="O12" s="9" t="n"/>
      <c r="P12" s="9" t="n"/>
      <c r="Q12" s="9" t="n"/>
      <c r="R12" s="9" t="n"/>
      <c r="S12" s="9" t="n"/>
    </row>
    <row r="13">
      <c r="A13" s="9" t="n"/>
      <c r="B13" s="9" t="n"/>
      <c r="C13" s="30" t="n"/>
      <c r="D13" s="9">
        <f>IF($C13="","",YEAR($C13)&amp;"-"&amp;TEXT(MONTH($C13),"00"))</f>
        <v/>
      </c>
      <c r="E13" s="9" t="n"/>
      <c r="F13" s="9" t="n"/>
      <c r="G13" s="9" t="n"/>
      <c r="H13" s="24" t="n"/>
      <c r="I13" s="9" t="n"/>
      <c r="J13" s="24" t="n"/>
      <c r="K13" s="24" t="n"/>
      <c r="L13" s="24">
        <f>IF($H13="","",ROUND($H13*$J13-N($K13),2))</f>
        <v/>
      </c>
      <c r="M13" s="31" t="n"/>
      <c r="N13" s="24">
        <f>IF(OR($L13="",$M13=""),"",ROUND($L13-$L13/(1+$M13/100),2))</f>
        <v/>
      </c>
      <c r="O13" s="9" t="n"/>
      <c r="P13" s="9" t="n"/>
      <c r="Q13" s="9" t="n"/>
      <c r="R13" s="9" t="n"/>
      <c r="S13" s="9" t="n"/>
    </row>
    <row r="14">
      <c r="A14" s="9" t="n"/>
      <c r="B14" s="9" t="n"/>
      <c r="C14" s="30" t="n"/>
      <c r="D14" s="9">
        <f>IF($C14="","",YEAR($C14)&amp;"-"&amp;TEXT(MONTH($C14),"00"))</f>
        <v/>
      </c>
      <c r="E14" s="9" t="n"/>
      <c r="F14" s="9" t="n"/>
      <c r="G14" s="9" t="n"/>
      <c r="H14" s="24" t="n"/>
      <c r="I14" s="9" t="n"/>
      <c r="J14" s="24" t="n"/>
      <c r="K14" s="24" t="n"/>
      <c r="L14" s="24">
        <f>IF($H14="","",ROUND($H14*$J14-N($K14),2))</f>
        <v/>
      </c>
      <c r="M14" s="31" t="n"/>
      <c r="N14" s="24">
        <f>IF(OR($L14="",$M14=""),"",ROUND($L14-$L14/(1+$M14/100),2))</f>
        <v/>
      </c>
      <c r="O14" s="9" t="n"/>
      <c r="P14" s="9" t="n"/>
      <c r="Q14" s="9" t="n"/>
      <c r="R14" s="9" t="n"/>
      <c r="S14" s="9" t="n"/>
    </row>
    <row r="15">
      <c r="A15" s="9" t="n"/>
      <c r="B15" s="9" t="n"/>
      <c r="C15" s="30" t="n"/>
      <c r="D15" s="9">
        <f>IF($C15="","",YEAR($C15)&amp;"-"&amp;TEXT(MONTH($C15),"00"))</f>
        <v/>
      </c>
      <c r="E15" s="9" t="n"/>
      <c r="F15" s="9" t="n"/>
      <c r="G15" s="9" t="n"/>
      <c r="H15" s="24" t="n"/>
      <c r="I15" s="9" t="n"/>
      <c r="J15" s="24" t="n"/>
      <c r="K15" s="24" t="n"/>
      <c r="L15" s="24">
        <f>IF($H15="","",ROUND($H15*$J15-N($K15),2))</f>
        <v/>
      </c>
      <c r="M15" s="31" t="n"/>
      <c r="N15" s="24">
        <f>IF(OR($L15="",$M15=""),"",ROUND($L15-$L15/(1+$M15/100),2))</f>
        <v/>
      </c>
      <c r="O15" s="9" t="n"/>
      <c r="P15" s="9" t="n"/>
      <c r="Q15" s="9" t="n"/>
      <c r="R15" s="9" t="n"/>
      <c r="S15" s="9" t="n"/>
    </row>
    <row r="16">
      <c r="A16" s="9" t="n"/>
      <c r="B16" s="9" t="n"/>
      <c r="C16" s="30" t="n"/>
      <c r="D16" s="9">
        <f>IF($C16="","",YEAR($C16)&amp;"-"&amp;TEXT(MONTH($C16),"00"))</f>
        <v/>
      </c>
      <c r="E16" s="9" t="n"/>
      <c r="F16" s="9" t="n"/>
      <c r="G16" s="9" t="n"/>
      <c r="H16" s="24" t="n"/>
      <c r="I16" s="9" t="n"/>
      <c r="J16" s="24" t="n"/>
      <c r="K16" s="24" t="n"/>
      <c r="L16" s="24">
        <f>IF($H16="","",ROUND($H16*$J16-N($K16),2))</f>
        <v/>
      </c>
      <c r="M16" s="31" t="n"/>
      <c r="N16" s="24">
        <f>IF(OR($L16="",$M16=""),"",ROUND($L16-$L16/(1+$M16/100),2))</f>
        <v/>
      </c>
      <c r="O16" s="9" t="n"/>
      <c r="P16" s="9" t="n"/>
      <c r="Q16" s="9" t="n"/>
      <c r="R16" s="9" t="n"/>
      <c r="S16" s="9" t="n"/>
    </row>
    <row r="17">
      <c r="A17" s="9" t="n"/>
      <c r="B17" s="9" t="n"/>
      <c r="C17" s="30" t="n"/>
      <c r="D17" s="9">
        <f>IF($C17="","",YEAR($C17)&amp;"-"&amp;TEXT(MONTH($C17),"00"))</f>
        <v/>
      </c>
      <c r="E17" s="9" t="n"/>
      <c r="F17" s="9" t="n"/>
      <c r="G17" s="9" t="n"/>
      <c r="H17" s="24" t="n"/>
      <c r="I17" s="9" t="n"/>
      <c r="J17" s="24" t="n"/>
      <c r="K17" s="24" t="n"/>
      <c r="L17" s="24">
        <f>IF($H17="","",ROUND($H17*$J17-N($K17),2))</f>
        <v/>
      </c>
      <c r="M17" s="31" t="n"/>
      <c r="N17" s="24">
        <f>IF(OR($L17="",$M17=""),"",ROUND($L17-$L17/(1+$M17/100),2))</f>
        <v/>
      </c>
      <c r="O17" s="9" t="n"/>
      <c r="P17" s="9" t="n"/>
      <c r="Q17" s="9" t="n"/>
      <c r="R17" s="9" t="n"/>
      <c r="S17" s="9" t="n"/>
    </row>
    <row r="18">
      <c r="A18" s="9" t="n"/>
      <c r="B18" s="9" t="n"/>
      <c r="C18" s="30" t="n"/>
      <c r="D18" s="9">
        <f>IF($C18="","",YEAR($C18)&amp;"-"&amp;TEXT(MONTH($C18),"00"))</f>
        <v/>
      </c>
      <c r="E18" s="9" t="n"/>
      <c r="F18" s="9" t="n"/>
      <c r="G18" s="9" t="n"/>
      <c r="H18" s="24" t="n"/>
      <c r="I18" s="9" t="n"/>
      <c r="J18" s="24" t="n"/>
      <c r="K18" s="24" t="n"/>
      <c r="L18" s="24">
        <f>IF($H18="","",ROUND($H18*$J18-N($K18),2))</f>
        <v/>
      </c>
      <c r="M18" s="31" t="n"/>
      <c r="N18" s="24">
        <f>IF(OR($L18="",$M18=""),"",ROUND($L18-$L18/(1+$M18/100),2))</f>
        <v/>
      </c>
      <c r="O18" s="9" t="n"/>
      <c r="P18" s="9" t="n"/>
      <c r="Q18" s="9" t="n"/>
      <c r="R18" s="9" t="n"/>
      <c r="S18" s="9" t="n"/>
    </row>
    <row r="19">
      <c r="A19" s="9" t="n"/>
      <c r="B19" s="9" t="n"/>
      <c r="C19" s="30" t="n"/>
      <c r="D19" s="9">
        <f>IF($C19="","",YEAR($C19)&amp;"-"&amp;TEXT(MONTH($C19),"00"))</f>
        <v/>
      </c>
      <c r="E19" s="9" t="n"/>
      <c r="F19" s="9" t="n"/>
      <c r="G19" s="9" t="n"/>
      <c r="H19" s="24" t="n"/>
      <c r="I19" s="9" t="n"/>
      <c r="J19" s="24" t="n"/>
      <c r="K19" s="24" t="n"/>
      <c r="L19" s="24">
        <f>IF($H19="","",ROUND($H19*$J19-N($K19),2))</f>
        <v/>
      </c>
      <c r="M19" s="31" t="n"/>
      <c r="N19" s="24">
        <f>IF(OR($L19="",$M19=""),"",ROUND($L19-$L19/(1+$M19/100),2))</f>
        <v/>
      </c>
      <c r="O19" s="9" t="n"/>
      <c r="P19" s="9" t="n"/>
      <c r="Q19" s="9" t="n"/>
      <c r="R19" s="9" t="n"/>
      <c r="S19" s="9" t="n"/>
    </row>
    <row r="20">
      <c r="A20" s="9" t="n"/>
      <c r="B20" s="9" t="n"/>
      <c r="C20" s="30" t="n"/>
      <c r="D20" s="9">
        <f>IF($C20="","",YEAR($C20)&amp;"-"&amp;TEXT(MONTH($C20),"00"))</f>
        <v/>
      </c>
      <c r="E20" s="9" t="n"/>
      <c r="F20" s="9" t="n"/>
      <c r="G20" s="9" t="n"/>
      <c r="H20" s="24" t="n"/>
      <c r="I20" s="9" t="n"/>
      <c r="J20" s="24" t="n"/>
      <c r="K20" s="24" t="n"/>
      <c r="L20" s="24">
        <f>IF($H20="","",ROUND($H20*$J20-N($K20),2))</f>
        <v/>
      </c>
      <c r="M20" s="31" t="n"/>
      <c r="N20" s="24">
        <f>IF(OR($L20="",$M20=""),"",ROUND($L20-$L20/(1+$M20/100),2))</f>
        <v/>
      </c>
      <c r="O20" s="9" t="n"/>
      <c r="P20" s="9" t="n"/>
      <c r="Q20" s="9" t="n"/>
      <c r="R20" s="9" t="n"/>
      <c r="S20" s="9" t="n"/>
    </row>
    <row r="21">
      <c r="A21" s="9" t="n"/>
      <c r="B21" s="9" t="n"/>
      <c r="C21" s="30" t="n"/>
      <c r="D21" s="9">
        <f>IF($C21="","",YEAR($C21)&amp;"-"&amp;TEXT(MONTH($C21),"00"))</f>
        <v/>
      </c>
      <c r="E21" s="9" t="n"/>
      <c r="F21" s="9" t="n"/>
      <c r="G21" s="9" t="n"/>
      <c r="H21" s="24" t="n"/>
      <c r="I21" s="9" t="n"/>
      <c r="J21" s="24" t="n"/>
      <c r="K21" s="24" t="n"/>
      <c r="L21" s="24">
        <f>IF($H21="","",ROUND($H21*$J21-N($K21),2))</f>
        <v/>
      </c>
      <c r="M21" s="31" t="n"/>
      <c r="N21" s="24">
        <f>IF(OR($L21="",$M21=""),"",ROUND($L21-$L21/(1+$M21/100),2))</f>
        <v/>
      </c>
      <c r="O21" s="9" t="n"/>
      <c r="P21" s="9" t="n"/>
      <c r="Q21" s="9" t="n"/>
      <c r="R21" s="9" t="n"/>
      <c r="S21" s="9" t="n"/>
    </row>
    <row r="22">
      <c r="A22" s="9" t="n"/>
      <c r="B22" s="9" t="n"/>
      <c r="C22" s="30" t="n"/>
      <c r="D22" s="9">
        <f>IF($C22="","",YEAR($C22)&amp;"-"&amp;TEXT(MONTH($C22),"00"))</f>
        <v/>
      </c>
      <c r="E22" s="9" t="n"/>
      <c r="F22" s="9" t="n"/>
      <c r="G22" s="9" t="n"/>
      <c r="H22" s="24" t="n"/>
      <c r="I22" s="9" t="n"/>
      <c r="J22" s="24" t="n"/>
      <c r="K22" s="24" t="n"/>
      <c r="L22" s="24">
        <f>IF($H22="","",ROUND($H22*$J22-N($K22),2))</f>
        <v/>
      </c>
      <c r="M22" s="31" t="n"/>
      <c r="N22" s="24">
        <f>IF(OR($L22="",$M22=""),"",ROUND($L22-$L22/(1+$M22/100),2))</f>
        <v/>
      </c>
      <c r="O22" s="9" t="n"/>
      <c r="P22" s="9" t="n"/>
      <c r="Q22" s="9" t="n"/>
      <c r="R22" s="9" t="n"/>
      <c r="S22" s="9" t="n"/>
    </row>
    <row r="23">
      <c r="A23" s="9" t="n"/>
      <c r="B23" s="9" t="n"/>
      <c r="C23" s="30" t="n"/>
      <c r="D23" s="9">
        <f>IF($C23="","",YEAR($C23)&amp;"-"&amp;TEXT(MONTH($C23),"00"))</f>
        <v/>
      </c>
      <c r="E23" s="9" t="n"/>
      <c r="F23" s="9" t="n"/>
      <c r="G23" s="9" t="n"/>
      <c r="H23" s="24" t="n"/>
      <c r="I23" s="9" t="n"/>
      <c r="J23" s="24" t="n"/>
      <c r="K23" s="24" t="n"/>
      <c r="L23" s="24">
        <f>IF($H23="","",ROUND($H23*$J23-N($K23),2))</f>
        <v/>
      </c>
      <c r="M23" s="31" t="n"/>
      <c r="N23" s="24">
        <f>IF(OR($L23="",$M23=""),"",ROUND($L23-$L23/(1+$M23/100),2))</f>
        <v/>
      </c>
      <c r="O23" s="9" t="n"/>
      <c r="P23" s="9" t="n"/>
      <c r="Q23" s="9" t="n"/>
      <c r="R23" s="9" t="n"/>
      <c r="S23" s="9" t="n"/>
    </row>
    <row r="24">
      <c r="A24" s="9" t="n"/>
      <c r="B24" s="9" t="n"/>
      <c r="C24" s="30" t="n"/>
      <c r="D24" s="9">
        <f>IF($C24="","",YEAR($C24)&amp;"-"&amp;TEXT(MONTH($C24),"00"))</f>
        <v/>
      </c>
      <c r="E24" s="9" t="n"/>
      <c r="F24" s="9" t="n"/>
      <c r="G24" s="9" t="n"/>
      <c r="H24" s="24" t="n"/>
      <c r="I24" s="9" t="n"/>
      <c r="J24" s="24" t="n"/>
      <c r="K24" s="24" t="n"/>
      <c r="L24" s="24">
        <f>IF($H24="","",ROUND($H24*$J24-N($K24),2))</f>
        <v/>
      </c>
      <c r="M24" s="31" t="n"/>
      <c r="N24" s="24">
        <f>IF(OR($L24="",$M24=""),"",ROUND($L24-$L24/(1+$M24/100),2))</f>
        <v/>
      </c>
      <c r="O24" s="9" t="n"/>
      <c r="P24" s="9" t="n"/>
      <c r="Q24" s="9" t="n"/>
      <c r="R24" s="9" t="n"/>
      <c r="S24" s="9" t="n"/>
    </row>
    <row r="25">
      <c r="A25" s="9" t="n"/>
      <c r="B25" s="9" t="n"/>
      <c r="C25" s="30" t="n"/>
      <c r="D25" s="9">
        <f>IF($C25="","",YEAR($C25)&amp;"-"&amp;TEXT(MONTH($C25),"00"))</f>
        <v/>
      </c>
      <c r="E25" s="9" t="n"/>
      <c r="F25" s="9" t="n"/>
      <c r="G25" s="9" t="n"/>
      <c r="H25" s="24" t="n"/>
      <c r="I25" s="9" t="n"/>
      <c r="J25" s="24" t="n"/>
      <c r="K25" s="24" t="n"/>
      <c r="L25" s="24">
        <f>IF($H25="","",ROUND($H25*$J25-N($K25),2))</f>
        <v/>
      </c>
      <c r="M25" s="31" t="n"/>
      <c r="N25" s="24">
        <f>IF(OR($L25="",$M25=""),"",ROUND($L25-$L25/(1+$M25/100),2))</f>
        <v/>
      </c>
      <c r="O25" s="9" t="n"/>
      <c r="P25" s="9" t="n"/>
      <c r="Q25" s="9" t="n"/>
      <c r="R25" s="9" t="n"/>
      <c r="S25" s="9" t="n"/>
    </row>
    <row r="26">
      <c r="A26" s="9" t="n"/>
      <c r="B26" s="9" t="n"/>
      <c r="C26" s="30" t="n"/>
      <c r="D26" s="9">
        <f>IF($C26="","",YEAR($C26)&amp;"-"&amp;TEXT(MONTH($C26),"00"))</f>
        <v/>
      </c>
      <c r="E26" s="9" t="n"/>
      <c r="F26" s="9" t="n"/>
      <c r="G26" s="9" t="n"/>
      <c r="H26" s="24" t="n"/>
      <c r="I26" s="9" t="n"/>
      <c r="J26" s="24" t="n"/>
      <c r="K26" s="24" t="n"/>
      <c r="L26" s="24">
        <f>IF($H26="","",ROUND($H26*$J26-N($K26),2))</f>
        <v/>
      </c>
      <c r="M26" s="31" t="n"/>
      <c r="N26" s="24">
        <f>IF(OR($L26="",$M26=""),"",ROUND($L26-$L26/(1+$M26/100),2))</f>
        <v/>
      </c>
      <c r="O26" s="9" t="n"/>
      <c r="P26" s="9" t="n"/>
      <c r="Q26" s="9" t="n"/>
      <c r="R26" s="9" t="n"/>
      <c r="S26" s="9" t="n"/>
    </row>
    <row r="27">
      <c r="A27" s="9" t="n"/>
      <c r="B27" s="9" t="n"/>
      <c r="C27" s="30" t="n"/>
      <c r="D27" s="9">
        <f>IF($C27="","",YEAR($C27)&amp;"-"&amp;TEXT(MONTH($C27),"00"))</f>
        <v/>
      </c>
      <c r="E27" s="9" t="n"/>
      <c r="F27" s="9" t="n"/>
      <c r="G27" s="9" t="n"/>
      <c r="H27" s="24" t="n"/>
      <c r="I27" s="9" t="n"/>
      <c r="J27" s="24" t="n"/>
      <c r="K27" s="24" t="n"/>
      <c r="L27" s="24">
        <f>IF($H27="","",ROUND($H27*$J27-N($K27),2))</f>
        <v/>
      </c>
      <c r="M27" s="31" t="n"/>
      <c r="N27" s="24">
        <f>IF(OR($L27="",$M27=""),"",ROUND($L27-$L27/(1+$M27/100),2))</f>
        <v/>
      </c>
      <c r="O27" s="9" t="n"/>
      <c r="P27" s="9" t="n"/>
      <c r="Q27" s="9" t="n"/>
      <c r="R27" s="9" t="n"/>
      <c r="S27" s="9" t="n"/>
    </row>
    <row r="28">
      <c r="A28" s="9" t="n"/>
      <c r="B28" s="9" t="n"/>
      <c r="C28" s="30" t="n"/>
      <c r="D28" s="9">
        <f>IF($C28="","",YEAR($C28)&amp;"-"&amp;TEXT(MONTH($C28),"00"))</f>
        <v/>
      </c>
      <c r="E28" s="9" t="n"/>
      <c r="F28" s="9" t="n"/>
      <c r="G28" s="9" t="n"/>
      <c r="H28" s="24" t="n"/>
      <c r="I28" s="9" t="n"/>
      <c r="J28" s="24" t="n"/>
      <c r="K28" s="24" t="n"/>
      <c r="L28" s="24">
        <f>IF($H28="","",ROUND($H28*$J28-N($K28),2))</f>
        <v/>
      </c>
      <c r="M28" s="31" t="n"/>
      <c r="N28" s="24">
        <f>IF(OR($L28="",$M28=""),"",ROUND($L28-$L28/(1+$M28/100),2))</f>
        <v/>
      </c>
      <c r="O28" s="9" t="n"/>
      <c r="P28" s="9" t="n"/>
      <c r="Q28" s="9" t="n"/>
      <c r="R28" s="9" t="n"/>
      <c r="S28" s="9" t="n"/>
    </row>
    <row r="29">
      <c r="A29" s="9" t="n"/>
      <c r="B29" s="9" t="n"/>
      <c r="C29" s="30" t="n"/>
      <c r="D29" s="9">
        <f>IF($C29="","",YEAR($C29)&amp;"-"&amp;TEXT(MONTH($C29),"00"))</f>
        <v/>
      </c>
      <c r="E29" s="9" t="n"/>
      <c r="F29" s="9" t="n"/>
      <c r="G29" s="9" t="n"/>
      <c r="H29" s="24" t="n"/>
      <c r="I29" s="9" t="n"/>
      <c r="J29" s="24" t="n"/>
      <c r="K29" s="24" t="n"/>
      <c r="L29" s="24">
        <f>IF($H29="","",ROUND($H29*$J29-N($K29),2))</f>
        <v/>
      </c>
      <c r="M29" s="31" t="n"/>
      <c r="N29" s="24">
        <f>IF(OR($L29="",$M29=""),"",ROUND($L29-$L29/(1+$M29/100),2))</f>
        <v/>
      </c>
      <c r="O29" s="9" t="n"/>
      <c r="P29" s="9" t="n"/>
      <c r="Q29" s="9" t="n"/>
      <c r="R29" s="9" t="n"/>
      <c r="S29" s="9" t="n"/>
    </row>
    <row r="30">
      <c r="A30" s="9" t="n"/>
      <c r="B30" s="9" t="n"/>
      <c r="C30" s="30" t="n"/>
      <c r="D30" s="9">
        <f>IF($C30="","",YEAR($C30)&amp;"-"&amp;TEXT(MONTH($C30),"00"))</f>
        <v/>
      </c>
      <c r="E30" s="9" t="n"/>
      <c r="F30" s="9" t="n"/>
      <c r="G30" s="9" t="n"/>
      <c r="H30" s="24" t="n"/>
      <c r="I30" s="9" t="n"/>
      <c r="J30" s="24" t="n"/>
      <c r="K30" s="24" t="n"/>
      <c r="L30" s="24">
        <f>IF($H30="","",ROUND($H30*$J30-N($K30),2))</f>
        <v/>
      </c>
      <c r="M30" s="31" t="n"/>
      <c r="N30" s="24">
        <f>IF(OR($L30="",$M30=""),"",ROUND($L30-$L30/(1+$M30/100),2))</f>
        <v/>
      </c>
      <c r="O30" s="9" t="n"/>
      <c r="P30" s="9" t="n"/>
      <c r="Q30" s="9" t="n"/>
      <c r="R30" s="9" t="n"/>
      <c r="S30" s="9" t="n"/>
    </row>
    <row r="31">
      <c r="A31" s="9" t="n"/>
      <c r="B31" s="9" t="n"/>
      <c r="C31" s="30" t="n"/>
      <c r="D31" s="9">
        <f>IF($C31="","",YEAR($C31)&amp;"-"&amp;TEXT(MONTH($C31),"00"))</f>
        <v/>
      </c>
      <c r="E31" s="9" t="n"/>
      <c r="F31" s="9" t="n"/>
      <c r="G31" s="9" t="n"/>
      <c r="H31" s="24" t="n"/>
      <c r="I31" s="9" t="n"/>
      <c r="J31" s="24" t="n"/>
      <c r="K31" s="24" t="n"/>
      <c r="L31" s="24">
        <f>IF($H31="","",ROUND($H31*$J31-N($K31),2))</f>
        <v/>
      </c>
      <c r="M31" s="31" t="n"/>
      <c r="N31" s="24">
        <f>IF(OR($L31="",$M31=""),"",ROUND($L31-$L31/(1+$M31/100),2))</f>
        <v/>
      </c>
      <c r="O31" s="9" t="n"/>
      <c r="P31" s="9" t="n"/>
      <c r="Q31" s="9" t="n"/>
      <c r="R31" s="9" t="n"/>
      <c r="S31" s="9" t="n"/>
    </row>
    <row r="32">
      <c r="A32" s="9" t="n"/>
      <c r="B32" s="9" t="n"/>
      <c r="C32" s="30" t="n"/>
      <c r="D32" s="9">
        <f>IF($C32="","",YEAR($C32)&amp;"-"&amp;TEXT(MONTH($C32),"00"))</f>
        <v/>
      </c>
      <c r="E32" s="9" t="n"/>
      <c r="F32" s="9" t="n"/>
      <c r="G32" s="9" t="n"/>
      <c r="H32" s="24" t="n"/>
      <c r="I32" s="9" t="n"/>
      <c r="J32" s="24" t="n"/>
      <c r="K32" s="24" t="n"/>
      <c r="L32" s="24">
        <f>IF($H32="","",ROUND($H32*$J32-N($K32),2))</f>
        <v/>
      </c>
      <c r="M32" s="31" t="n"/>
      <c r="N32" s="24">
        <f>IF(OR($L32="",$M32=""),"",ROUND($L32-$L32/(1+$M32/100),2))</f>
        <v/>
      </c>
      <c r="O32" s="9" t="n"/>
      <c r="P32" s="9" t="n"/>
      <c r="Q32" s="9" t="n"/>
      <c r="R32" s="9" t="n"/>
      <c r="S32" s="9" t="n"/>
    </row>
    <row r="33">
      <c r="A33" s="9" t="n"/>
      <c r="B33" s="9" t="n"/>
      <c r="C33" s="30" t="n"/>
      <c r="D33" s="9">
        <f>IF($C33="","",YEAR($C33)&amp;"-"&amp;TEXT(MONTH($C33),"00"))</f>
        <v/>
      </c>
      <c r="E33" s="9" t="n"/>
      <c r="F33" s="9" t="n"/>
      <c r="G33" s="9" t="n"/>
      <c r="H33" s="24" t="n"/>
      <c r="I33" s="9" t="n"/>
      <c r="J33" s="24" t="n"/>
      <c r="K33" s="24" t="n"/>
      <c r="L33" s="24">
        <f>IF($H33="","",ROUND($H33*$J33-N($K33),2))</f>
        <v/>
      </c>
      <c r="M33" s="31" t="n"/>
      <c r="N33" s="24">
        <f>IF(OR($L33="",$M33=""),"",ROUND($L33-$L33/(1+$M33/100),2))</f>
        <v/>
      </c>
      <c r="O33" s="9" t="n"/>
      <c r="P33" s="9" t="n"/>
      <c r="Q33" s="9" t="n"/>
      <c r="R33" s="9" t="n"/>
      <c r="S33" s="9" t="n"/>
    </row>
    <row r="34">
      <c r="A34" s="9" t="n"/>
      <c r="B34" s="9" t="n"/>
      <c r="C34" s="30" t="n"/>
      <c r="D34" s="9">
        <f>IF($C34="","",YEAR($C34)&amp;"-"&amp;TEXT(MONTH($C34),"00"))</f>
        <v/>
      </c>
      <c r="E34" s="9" t="n"/>
      <c r="F34" s="9" t="n"/>
      <c r="G34" s="9" t="n"/>
      <c r="H34" s="24" t="n"/>
      <c r="I34" s="9" t="n"/>
      <c r="J34" s="24" t="n"/>
      <c r="K34" s="24" t="n"/>
      <c r="L34" s="24">
        <f>IF($H34="","",ROUND($H34*$J34-N($K34),2))</f>
        <v/>
      </c>
      <c r="M34" s="31" t="n"/>
      <c r="N34" s="24">
        <f>IF(OR($L34="",$M34=""),"",ROUND($L34-$L34/(1+$M34/100),2))</f>
        <v/>
      </c>
      <c r="O34" s="9" t="n"/>
      <c r="P34" s="9" t="n"/>
      <c r="Q34" s="9" t="n"/>
      <c r="R34" s="9" t="n"/>
      <c r="S34" s="9" t="n"/>
    </row>
    <row r="35">
      <c r="A35" s="9" t="n"/>
      <c r="B35" s="9" t="n"/>
      <c r="C35" s="30" t="n"/>
      <c r="D35" s="9">
        <f>IF($C35="","",YEAR($C35)&amp;"-"&amp;TEXT(MONTH($C35),"00"))</f>
        <v/>
      </c>
      <c r="E35" s="9" t="n"/>
      <c r="F35" s="9" t="n"/>
      <c r="G35" s="9" t="n"/>
      <c r="H35" s="24" t="n"/>
      <c r="I35" s="9" t="n"/>
      <c r="J35" s="24" t="n"/>
      <c r="K35" s="24" t="n"/>
      <c r="L35" s="24">
        <f>IF($H35="","",ROUND($H35*$J35-N($K35),2))</f>
        <v/>
      </c>
      <c r="M35" s="31" t="n"/>
      <c r="N35" s="24">
        <f>IF(OR($L35="",$M35=""),"",ROUND($L35-$L35/(1+$M35/100),2))</f>
        <v/>
      </c>
      <c r="O35" s="9" t="n"/>
      <c r="P35" s="9" t="n"/>
      <c r="Q35" s="9" t="n"/>
      <c r="R35" s="9" t="n"/>
      <c r="S35" s="9" t="n"/>
    </row>
    <row r="36">
      <c r="A36" s="9" t="n"/>
      <c r="B36" s="9" t="n"/>
      <c r="C36" s="30" t="n"/>
      <c r="D36" s="9">
        <f>IF($C36="","",YEAR($C36)&amp;"-"&amp;TEXT(MONTH($C36),"00"))</f>
        <v/>
      </c>
      <c r="E36" s="9" t="n"/>
      <c r="F36" s="9" t="n"/>
      <c r="G36" s="9" t="n"/>
      <c r="H36" s="24" t="n"/>
      <c r="I36" s="9" t="n"/>
      <c r="J36" s="24" t="n"/>
      <c r="K36" s="24" t="n"/>
      <c r="L36" s="24">
        <f>IF($H36="","",ROUND($H36*$J36-N($K36),2))</f>
        <v/>
      </c>
      <c r="M36" s="31" t="n"/>
      <c r="N36" s="24">
        <f>IF(OR($L36="",$M36=""),"",ROUND($L36-$L36/(1+$M36/100),2))</f>
        <v/>
      </c>
      <c r="O36" s="9" t="n"/>
      <c r="P36" s="9" t="n"/>
      <c r="Q36" s="9" t="n"/>
      <c r="R36" s="9" t="n"/>
      <c r="S36" s="9" t="n"/>
    </row>
    <row r="37">
      <c r="A37" s="9" t="n"/>
      <c r="B37" s="9" t="n"/>
      <c r="C37" s="30" t="n"/>
      <c r="D37" s="9">
        <f>IF($C37="","",YEAR($C37)&amp;"-"&amp;TEXT(MONTH($C37),"00"))</f>
        <v/>
      </c>
      <c r="E37" s="9" t="n"/>
      <c r="F37" s="9" t="n"/>
      <c r="G37" s="9" t="n"/>
      <c r="H37" s="24" t="n"/>
      <c r="I37" s="9" t="n"/>
      <c r="J37" s="24" t="n"/>
      <c r="K37" s="24" t="n"/>
      <c r="L37" s="24">
        <f>IF($H37="","",ROUND($H37*$J37-N($K37),2))</f>
        <v/>
      </c>
      <c r="M37" s="31" t="n"/>
      <c r="N37" s="24">
        <f>IF(OR($L37="",$M37=""),"",ROUND($L37-$L37/(1+$M37/100),2))</f>
        <v/>
      </c>
      <c r="O37" s="9" t="n"/>
      <c r="P37" s="9" t="n"/>
      <c r="Q37" s="9" t="n"/>
      <c r="R37" s="9" t="n"/>
      <c r="S37" s="9" t="n"/>
    </row>
    <row r="38">
      <c r="A38" s="9" t="n"/>
      <c r="B38" s="9" t="n"/>
      <c r="C38" s="30" t="n"/>
      <c r="D38" s="9">
        <f>IF($C38="","",YEAR($C38)&amp;"-"&amp;TEXT(MONTH($C38),"00"))</f>
        <v/>
      </c>
      <c r="E38" s="9" t="n"/>
      <c r="F38" s="9" t="n"/>
      <c r="G38" s="9" t="n"/>
      <c r="H38" s="24" t="n"/>
      <c r="I38" s="9" t="n"/>
      <c r="J38" s="24" t="n"/>
      <c r="K38" s="24" t="n"/>
      <c r="L38" s="24">
        <f>IF($H38="","",ROUND($H38*$J38-N($K38),2))</f>
        <v/>
      </c>
      <c r="M38" s="31" t="n"/>
      <c r="N38" s="24">
        <f>IF(OR($L38="",$M38=""),"",ROUND($L38-$L38/(1+$M38/100),2))</f>
        <v/>
      </c>
      <c r="O38" s="9" t="n"/>
      <c r="P38" s="9" t="n"/>
      <c r="Q38" s="9" t="n"/>
      <c r="R38" s="9" t="n"/>
      <c r="S38" s="9" t="n"/>
    </row>
    <row r="39">
      <c r="A39" s="9" t="n"/>
      <c r="B39" s="9" t="n"/>
      <c r="C39" s="30" t="n"/>
      <c r="D39" s="9">
        <f>IF($C39="","",YEAR($C39)&amp;"-"&amp;TEXT(MONTH($C39),"00"))</f>
        <v/>
      </c>
      <c r="E39" s="9" t="n"/>
      <c r="F39" s="9" t="n"/>
      <c r="G39" s="9" t="n"/>
      <c r="H39" s="24" t="n"/>
      <c r="I39" s="9" t="n"/>
      <c r="J39" s="24" t="n"/>
      <c r="K39" s="24" t="n"/>
      <c r="L39" s="24">
        <f>IF($H39="","",ROUND($H39*$J39-N($K39),2))</f>
        <v/>
      </c>
      <c r="M39" s="31" t="n"/>
      <c r="N39" s="24">
        <f>IF(OR($L39="",$M39=""),"",ROUND($L39-$L39/(1+$M39/100),2))</f>
        <v/>
      </c>
      <c r="O39" s="9" t="n"/>
      <c r="P39" s="9" t="n"/>
      <c r="Q39" s="9" t="n"/>
      <c r="R39" s="9" t="n"/>
      <c r="S39" s="9" t="n"/>
    </row>
    <row r="40">
      <c r="A40" s="9" t="n"/>
      <c r="B40" s="9" t="n"/>
      <c r="C40" s="30" t="n"/>
      <c r="D40" s="9">
        <f>IF($C40="","",YEAR($C40)&amp;"-"&amp;TEXT(MONTH($C40),"00"))</f>
        <v/>
      </c>
      <c r="E40" s="9" t="n"/>
      <c r="F40" s="9" t="n"/>
      <c r="G40" s="9" t="n"/>
      <c r="H40" s="24" t="n"/>
      <c r="I40" s="9" t="n"/>
      <c r="J40" s="24" t="n"/>
      <c r="K40" s="24" t="n"/>
      <c r="L40" s="24">
        <f>IF($H40="","",ROUND($H40*$J40-N($K40),2))</f>
        <v/>
      </c>
      <c r="M40" s="31" t="n"/>
      <c r="N40" s="24">
        <f>IF(OR($L40="",$M40=""),"",ROUND($L40-$L40/(1+$M40/100),2))</f>
        <v/>
      </c>
      <c r="O40" s="9" t="n"/>
      <c r="P40" s="9" t="n"/>
      <c r="Q40" s="9" t="n"/>
      <c r="R40" s="9" t="n"/>
      <c r="S40" s="9" t="n"/>
    </row>
    <row r="41">
      <c r="A41" s="9" t="n"/>
      <c r="B41" s="9" t="n"/>
      <c r="C41" s="30" t="n"/>
      <c r="D41" s="9">
        <f>IF($C41="","",YEAR($C41)&amp;"-"&amp;TEXT(MONTH($C41),"00"))</f>
        <v/>
      </c>
      <c r="E41" s="9" t="n"/>
      <c r="F41" s="9" t="n"/>
      <c r="G41" s="9" t="n"/>
      <c r="H41" s="24" t="n"/>
      <c r="I41" s="9" t="n"/>
      <c r="J41" s="24" t="n"/>
      <c r="K41" s="24" t="n"/>
      <c r="L41" s="24">
        <f>IF($H41="","",ROUND($H41*$J41-N($K41),2))</f>
        <v/>
      </c>
      <c r="M41" s="31" t="n"/>
      <c r="N41" s="24">
        <f>IF(OR($L41="",$M41=""),"",ROUND($L41-$L41/(1+$M41/100),2))</f>
        <v/>
      </c>
      <c r="O41" s="9" t="n"/>
      <c r="P41" s="9" t="n"/>
      <c r="Q41" s="9" t="n"/>
      <c r="R41" s="9" t="n"/>
      <c r="S41" s="9" t="n"/>
    </row>
    <row r="42">
      <c r="A42" s="9" t="n"/>
      <c r="B42" s="9" t="n"/>
      <c r="C42" s="30" t="n"/>
      <c r="D42" s="9">
        <f>IF($C42="","",YEAR($C42)&amp;"-"&amp;TEXT(MONTH($C42),"00"))</f>
        <v/>
      </c>
      <c r="E42" s="9" t="n"/>
      <c r="F42" s="9" t="n"/>
      <c r="G42" s="9" t="n"/>
      <c r="H42" s="24" t="n"/>
      <c r="I42" s="9" t="n"/>
      <c r="J42" s="24" t="n"/>
      <c r="K42" s="24" t="n"/>
      <c r="L42" s="24">
        <f>IF($H42="","",ROUND($H42*$J42-N($K42),2))</f>
        <v/>
      </c>
      <c r="M42" s="31" t="n"/>
      <c r="N42" s="24">
        <f>IF(OR($L42="",$M42=""),"",ROUND($L42-$L42/(1+$M42/100),2))</f>
        <v/>
      </c>
      <c r="O42" s="9" t="n"/>
      <c r="P42" s="9" t="n"/>
      <c r="Q42" s="9" t="n"/>
      <c r="R42" s="9" t="n"/>
      <c r="S42" s="9" t="n"/>
    </row>
    <row r="43">
      <c r="A43" s="9" t="n"/>
      <c r="B43" s="9" t="n"/>
      <c r="C43" s="30" t="n"/>
      <c r="D43" s="9">
        <f>IF($C43="","",YEAR($C43)&amp;"-"&amp;TEXT(MONTH($C43),"00"))</f>
        <v/>
      </c>
      <c r="E43" s="9" t="n"/>
      <c r="F43" s="9" t="n"/>
      <c r="G43" s="9" t="n"/>
      <c r="H43" s="24" t="n"/>
      <c r="I43" s="9" t="n"/>
      <c r="J43" s="24" t="n"/>
      <c r="K43" s="24" t="n"/>
      <c r="L43" s="24">
        <f>IF($H43="","",ROUND($H43*$J43-N($K43),2))</f>
        <v/>
      </c>
      <c r="M43" s="31" t="n"/>
      <c r="N43" s="24">
        <f>IF(OR($L43="",$M43=""),"",ROUND($L43-$L43/(1+$M43/100),2))</f>
        <v/>
      </c>
      <c r="O43" s="9" t="n"/>
      <c r="P43" s="9" t="n"/>
      <c r="Q43" s="9" t="n"/>
      <c r="R43" s="9" t="n"/>
      <c r="S43" s="9" t="n"/>
    </row>
    <row r="44">
      <c r="A44" s="9" t="n"/>
      <c r="B44" s="9" t="n"/>
      <c r="C44" s="30" t="n"/>
      <c r="D44" s="9">
        <f>IF($C44="","",YEAR($C44)&amp;"-"&amp;TEXT(MONTH($C44),"00"))</f>
        <v/>
      </c>
      <c r="E44" s="9" t="n"/>
      <c r="F44" s="9" t="n"/>
      <c r="G44" s="9" t="n"/>
      <c r="H44" s="24" t="n"/>
      <c r="I44" s="9" t="n"/>
      <c r="J44" s="24" t="n"/>
      <c r="K44" s="24" t="n"/>
      <c r="L44" s="24">
        <f>IF($H44="","",ROUND($H44*$J44-N($K44),2))</f>
        <v/>
      </c>
      <c r="M44" s="31" t="n"/>
      <c r="N44" s="24">
        <f>IF(OR($L44="",$M44=""),"",ROUND($L44-$L44/(1+$M44/100),2))</f>
        <v/>
      </c>
      <c r="O44" s="9" t="n"/>
      <c r="P44" s="9" t="n"/>
      <c r="Q44" s="9" t="n"/>
      <c r="R44" s="9" t="n"/>
      <c r="S44" s="9" t="n"/>
    </row>
    <row r="45">
      <c r="A45" s="9" t="n"/>
      <c r="B45" s="9" t="n"/>
      <c r="C45" s="30" t="n"/>
      <c r="D45" s="9">
        <f>IF($C45="","",YEAR($C45)&amp;"-"&amp;TEXT(MONTH($C45),"00"))</f>
        <v/>
      </c>
      <c r="E45" s="9" t="n"/>
      <c r="F45" s="9" t="n"/>
      <c r="G45" s="9" t="n"/>
      <c r="H45" s="24" t="n"/>
      <c r="I45" s="9" t="n"/>
      <c r="J45" s="24" t="n"/>
      <c r="K45" s="24" t="n"/>
      <c r="L45" s="24">
        <f>IF($H45="","",ROUND($H45*$J45-N($K45),2))</f>
        <v/>
      </c>
      <c r="M45" s="31" t="n"/>
      <c r="N45" s="24">
        <f>IF(OR($L45="",$M45=""),"",ROUND($L45-$L45/(1+$M45/100),2))</f>
        <v/>
      </c>
      <c r="O45" s="9" t="n"/>
      <c r="P45" s="9" t="n"/>
      <c r="Q45" s="9" t="n"/>
      <c r="R45" s="9" t="n"/>
      <c r="S45" s="9" t="n"/>
    </row>
    <row r="46">
      <c r="A46" s="9" t="n"/>
      <c r="B46" s="9" t="n"/>
      <c r="C46" s="30" t="n"/>
      <c r="D46" s="9">
        <f>IF($C46="","",YEAR($C46)&amp;"-"&amp;TEXT(MONTH($C46),"00"))</f>
        <v/>
      </c>
      <c r="E46" s="9" t="n"/>
      <c r="F46" s="9" t="n"/>
      <c r="G46" s="9" t="n"/>
      <c r="H46" s="24" t="n"/>
      <c r="I46" s="9" t="n"/>
      <c r="J46" s="24" t="n"/>
      <c r="K46" s="24" t="n"/>
      <c r="L46" s="24">
        <f>IF($H46="","",ROUND($H46*$J46-N($K46),2))</f>
        <v/>
      </c>
      <c r="M46" s="31" t="n"/>
      <c r="N46" s="24">
        <f>IF(OR($L46="",$M46=""),"",ROUND($L46-$L46/(1+$M46/100),2))</f>
        <v/>
      </c>
      <c r="O46" s="9" t="n"/>
      <c r="P46" s="9" t="n"/>
      <c r="Q46" s="9" t="n"/>
      <c r="R46" s="9" t="n"/>
      <c r="S46" s="9" t="n"/>
    </row>
    <row r="47">
      <c r="A47" s="9" t="n"/>
      <c r="B47" s="9" t="n"/>
      <c r="C47" s="30" t="n"/>
      <c r="D47" s="9">
        <f>IF($C47="","",YEAR($C47)&amp;"-"&amp;TEXT(MONTH($C47),"00"))</f>
        <v/>
      </c>
      <c r="E47" s="9" t="n"/>
      <c r="F47" s="9" t="n"/>
      <c r="G47" s="9" t="n"/>
      <c r="H47" s="24" t="n"/>
      <c r="I47" s="9" t="n"/>
      <c r="J47" s="24" t="n"/>
      <c r="K47" s="24" t="n"/>
      <c r="L47" s="24">
        <f>IF($H47="","",ROUND($H47*$J47-N($K47),2))</f>
        <v/>
      </c>
      <c r="M47" s="31" t="n"/>
      <c r="N47" s="24">
        <f>IF(OR($L47="",$M47=""),"",ROUND($L47-$L47/(1+$M47/100),2))</f>
        <v/>
      </c>
      <c r="O47" s="9" t="n"/>
      <c r="P47" s="9" t="n"/>
      <c r="Q47" s="9" t="n"/>
      <c r="R47" s="9" t="n"/>
      <c r="S47" s="9" t="n"/>
    </row>
    <row r="48">
      <c r="A48" s="9" t="n"/>
      <c r="B48" s="9" t="n"/>
      <c r="C48" s="30" t="n"/>
      <c r="D48" s="9">
        <f>IF($C48="","",YEAR($C48)&amp;"-"&amp;TEXT(MONTH($C48),"00"))</f>
        <v/>
      </c>
      <c r="E48" s="9" t="n"/>
      <c r="F48" s="9" t="n"/>
      <c r="G48" s="9" t="n"/>
      <c r="H48" s="24" t="n"/>
      <c r="I48" s="9" t="n"/>
      <c r="J48" s="24" t="n"/>
      <c r="K48" s="24" t="n"/>
      <c r="L48" s="24">
        <f>IF($H48="","",ROUND($H48*$J48-N($K48),2))</f>
        <v/>
      </c>
      <c r="M48" s="31" t="n"/>
      <c r="N48" s="24">
        <f>IF(OR($L48="",$M48=""),"",ROUND($L48-$L48/(1+$M48/100),2))</f>
        <v/>
      </c>
      <c r="O48" s="9" t="n"/>
      <c r="P48" s="9" t="n"/>
      <c r="Q48" s="9" t="n"/>
      <c r="R48" s="9" t="n"/>
      <c r="S48" s="9" t="n"/>
    </row>
    <row r="49">
      <c r="A49" s="9" t="n"/>
      <c r="B49" s="9" t="n"/>
      <c r="C49" s="30" t="n"/>
      <c r="D49" s="9">
        <f>IF($C49="","",YEAR($C49)&amp;"-"&amp;TEXT(MONTH($C49),"00"))</f>
        <v/>
      </c>
      <c r="E49" s="9" t="n"/>
      <c r="F49" s="9" t="n"/>
      <c r="G49" s="9" t="n"/>
      <c r="H49" s="24" t="n"/>
      <c r="I49" s="9" t="n"/>
      <c r="J49" s="24" t="n"/>
      <c r="K49" s="24" t="n"/>
      <c r="L49" s="24">
        <f>IF($H49="","",ROUND($H49*$J49-N($K49),2))</f>
        <v/>
      </c>
      <c r="M49" s="31" t="n"/>
      <c r="N49" s="24">
        <f>IF(OR($L49="",$M49=""),"",ROUND($L49-$L49/(1+$M49/100),2))</f>
        <v/>
      </c>
      <c r="O49" s="9" t="n"/>
      <c r="P49" s="9" t="n"/>
      <c r="Q49" s="9" t="n"/>
      <c r="R49" s="9" t="n"/>
      <c r="S49" s="9" t="n"/>
    </row>
    <row r="50">
      <c r="A50" s="9" t="n"/>
      <c r="B50" s="9" t="n"/>
      <c r="C50" s="30" t="n"/>
      <c r="D50" s="9">
        <f>IF($C50="","",YEAR($C50)&amp;"-"&amp;TEXT(MONTH($C50),"00"))</f>
        <v/>
      </c>
      <c r="E50" s="9" t="n"/>
      <c r="F50" s="9" t="n"/>
      <c r="G50" s="9" t="n"/>
      <c r="H50" s="24" t="n"/>
      <c r="I50" s="9" t="n"/>
      <c r="J50" s="24" t="n"/>
      <c r="K50" s="24" t="n"/>
      <c r="L50" s="24">
        <f>IF($H50="","",ROUND($H50*$J50-N($K50),2))</f>
        <v/>
      </c>
      <c r="M50" s="31" t="n"/>
      <c r="N50" s="24">
        <f>IF(OR($L50="",$M50=""),"",ROUND($L50-$L50/(1+$M50/100),2))</f>
        <v/>
      </c>
      <c r="O50" s="9" t="n"/>
      <c r="P50" s="9" t="n"/>
      <c r="Q50" s="9" t="n"/>
      <c r="R50" s="9" t="n"/>
      <c r="S50" s="9" t="n"/>
    </row>
    <row r="51">
      <c r="A51" s="9" t="n"/>
      <c r="B51" s="9" t="n"/>
      <c r="C51" s="30" t="n"/>
      <c r="D51" s="9">
        <f>IF($C51="","",YEAR($C51)&amp;"-"&amp;TEXT(MONTH($C51),"00"))</f>
        <v/>
      </c>
      <c r="E51" s="9" t="n"/>
      <c r="F51" s="9" t="n"/>
      <c r="G51" s="9" t="n"/>
      <c r="H51" s="24" t="n"/>
      <c r="I51" s="9" t="n"/>
      <c r="J51" s="24" t="n"/>
      <c r="K51" s="24" t="n"/>
      <c r="L51" s="24">
        <f>IF($H51="","",ROUND($H51*$J51-N($K51),2))</f>
        <v/>
      </c>
      <c r="M51" s="31" t="n"/>
      <c r="N51" s="24">
        <f>IF(OR($L51="",$M51=""),"",ROUND($L51-$L51/(1+$M51/100),2))</f>
        <v/>
      </c>
      <c r="O51" s="9" t="n"/>
      <c r="P51" s="9" t="n"/>
      <c r="Q51" s="9" t="n"/>
      <c r="R51" s="9" t="n"/>
      <c r="S51" s="9" t="n"/>
    </row>
    <row r="52">
      <c r="A52" s="9" t="n"/>
      <c r="B52" s="9" t="n"/>
      <c r="C52" s="30" t="n"/>
      <c r="D52" s="9">
        <f>IF($C52="","",YEAR($C52)&amp;"-"&amp;TEXT(MONTH($C52),"00"))</f>
        <v/>
      </c>
      <c r="E52" s="9" t="n"/>
      <c r="F52" s="9" t="n"/>
      <c r="G52" s="9" t="n"/>
      <c r="H52" s="24" t="n"/>
      <c r="I52" s="9" t="n"/>
      <c r="J52" s="24" t="n"/>
      <c r="K52" s="24" t="n"/>
      <c r="L52" s="24">
        <f>IF($H52="","",ROUND($H52*$J52-N($K52),2))</f>
        <v/>
      </c>
      <c r="M52" s="31" t="n"/>
      <c r="N52" s="24">
        <f>IF(OR($L52="",$M52=""),"",ROUND($L52-$L52/(1+$M52/100),2))</f>
        <v/>
      </c>
      <c r="O52" s="9" t="n"/>
      <c r="P52" s="9" t="n"/>
      <c r="Q52" s="9" t="n"/>
      <c r="R52" s="9" t="n"/>
      <c r="S52" s="9" t="n"/>
    </row>
    <row r="53">
      <c r="A53" s="9" t="n"/>
      <c r="B53" s="9" t="n"/>
      <c r="C53" s="30" t="n"/>
      <c r="D53" s="9">
        <f>IF($C53="","",YEAR($C53)&amp;"-"&amp;TEXT(MONTH($C53),"00"))</f>
        <v/>
      </c>
      <c r="E53" s="9" t="n"/>
      <c r="F53" s="9" t="n"/>
      <c r="G53" s="9" t="n"/>
      <c r="H53" s="24" t="n"/>
      <c r="I53" s="9" t="n"/>
      <c r="J53" s="24" t="n"/>
      <c r="K53" s="24" t="n"/>
      <c r="L53" s="24">
        <f>IF($H53="","",ROUND($H53*$J53-N($K53),2))</f>
        <v/>
      </c>
      <c r="M53" s="31" t="n"/>
      <c r="N53" s="24">
        <f>IF(OR($L53="",$M53=""),"",ROUND($L53-$L53/(1+$M53/100),2))</f>
        <v/>
      </c>
      <c r="O53" s="9" t="n"/>
      <c r="P53" s="9" t="n"/>
      <c r="Q53" s="9" t="n"/>
      <c r="R53" s="9" t="n"/>
      <c r="S53" s="9" t="n"/>
    </row>
    <row r="54">
      <c r="A54" s="9" t="n"/>
      <c r="B54" s="9" t="n"/>
      <c r="C54" s="30" t="n"/>
      <c r="D54" s="9">
        <f>IF($C54="","",YEAR($C54)&amp;"-"&amp;TEXT(MONTH($C54),"00"))</f>
        <v/>
      </c>
      <c r="E54" s="9" t="n"/>
      <c r="F54" s="9" t="n"/>
      <c r="G54" s="9" t="n"/>
      <c r="H54" s="24" t="n"/>
      <c r="I54" s="9" t="n"/>
      <c r="J54" s="24" t="n"/>
      <c r="K54" s="24" t="n"/>
      <c r="L54" s="24">
        <f>IF($H54="","",ROUND($H54*$J54-N($K54),2))</f>
        <v/>
      </c>
      <c r="M54" s="31" t="n"/>
      <c r="N54" s="24">
        <f>IF(OR($L54="",$M54=""),"",ROUND($L54-$L54/(1+$M54/100),2))</f>
        <v/>
      </c>
      <c r="O54" s="9" t="n"/>
      <c r="P54" s="9" t="n"/>
      <c r="Q54" s="9" t="n"/>
      <c r="R54" s="9" t="n"/>
      <c r="S54" s="9" t="n"/>
    </row>
    <row r="55">
      <c r="A55" s="9" t="n"/>
      <c r="B55" s="9" t="n"/>
      <c r="C55" s="30" t="n"/>
      <c r="D55" s="9">
        <f>IF($C55="","",YEAR($C55)&amp;"-"&amp;TEXT(MONTH($C55),"00"))</f>
        <v/>
      </c>
      <c r="E55" s="9" t="n"/>
      <c r="F55" s="9" t="n"/>
      <c r="G55" s="9" t="n"/>
      <c r="H55" s="24" t="n"/>
      <c r="I55" s="9" t="n"/>
      <c r="J55" s="24" t="n"/>
      <c r="K55" s="24" t="n"/>
      <c r="L55" s="24">
        <f>IF($H55="","",ROUND($H55*$J55-N($K55),2))</f>
        <v/>
      </c>
      <c r="M55" s="31" t="n"/>
      <c r="N55" s="24">
        <f>IF(OR($L55="",$M55=""),"",ROUND($L55-$L55/(1+$M55/100),2))</f>
        <v/>
      </c>
      <c r="O55" s="9" t="n"/>
      <c r="P55" s="9" t="n"/>
      <c r="Q55" s="9" t="n"/>
      <c r="R55" s="9" t="n"/>
      <c r="S55" s="9" t="n"/>
    </row>
    <row r="56">
      <c r="A56" s="9" t="n"/>
      <c r="B56" s="9" t="n"/>
      <c r="C56" s="30" t="n"/>
      <c r="D56" s="9">
        <f>IF($C56="","",YEAR($C56)&amp;"-"&amp;TEXT(MONTH($C56),"00"))</f>
        <v/>
      </c>
      <c r="E56" s="9" t="n"/>
      <c r="F56" s="9" t="n"/>
      <c r="G56" s="9" t="n"/>
      <c r="H56" s="24" t="n"/>
      <c r="I56" s="9" t="n"/>
      <c r="J56" s="24" t="n"/>
      <c r="K56" s="24" t="n"/>
      <c r="L56" s="24">
        <f>IF($H56="","",ROUND($H56*$J56-N($K56),2))</f>
        <v/>
      </c>
      <c r="M56" s="31" t="n"/>
      <c r="N56" s="24">
        <f>IF(OR($L56="",$M56=""),"",ROUND($L56-$L56/(1+$M56/100),2))</f>
        <v/>
      </c>
      <c r="O56" s="9" t="n"/>
      <c r="P56" s="9" t="n"/>
      <c r="Q56" s="9" t="n"/>
      <c r="R56" s="9" t="n"/>
      <c r="S56" s="9" t="n"/>
    </row>
    <row r="57">
      <c r="A57" s="9" t="n"/>
      <c r="B57" s="9" t="n"/>
      <c r="C57" s="30" t="n"/>
      <c r="D57" s="9">
        <f>IF($C57="","",YEAR($C57)&amp;"-"&amp;TEXT(MONTH($C57),"00"))</f>
        <v/>
      </c>
      <c r="E57" s="9" t="n"/>
      <c r="F57" s="9" t="n"/>
      <c r="G57" s="9" t="n"/>
      <c r="H57" s="24" t="n"/>
      <c r="I57" s="9" t="n"/>
      <c r="J57" s="24" t="n"/>
      <c r="K57" s="24" t="n"/>
      <c r="L57" s="24">
        <f>IF($H57="","",ROUND($H57*$J57-N($K57),2))</f>
        <v/>
      </c>
      <c r="M57" s="31" t="n"/>
      <c r="N57" s="24">
        <f>IF(OR($L57="",$M57=""),"",ROUND($L57-$L57/(1+$M57/100),2))</f>
        <v/>
      </c>
      <c r="O57" s="9" t="n"/>
      <c r="P57" s="9" t="n"/>
      <c r="Q57" s="9" t="n"/>
      <c r="R57" s="9" t="n"/>
      <c r="S57" s="9" t="n"/>
    </row>
    <row r="58">
      <c r="A58" s="9" t="n"/>
      <c r="B58" s="9" t="n"/>
      <c r="C58" s="30" t="n"/>
      <c r="D58" s="9">
        <f>IF($C58="","",YEAR($C58)&amp;"-"&amp;TEXT(MONTH($C58),"00"))</f>
        <v/>
      </c>
      <c r="E58" s="9" t="n"/>
      <c r="F58" s="9" t="n"/>
      <c r="G58" s="9" t="n"/>
      <c r="H58" s="24" t="n"/>
      <c r="I58" s="9" t="n"/>
      <c r="J58" s="24" t="n"/>
      <c r="K58" s="24" t="n"/>
      <c r="L58" s="24">
        <f>IF($H58="","",ROUND($H58*$J58-N($K58),2))</f>
        <v/>
      </c>
      <c r="M58" s="31" t="n"/>
      <c r="N58" s="24">
        <f>IF(OR($L58="",$M58=""),"",ROUND($L58-$L58/(1+$M58/100),2))</f>
        <v/>
      </c>
      <c r="O58" s="9" t="n"/>
      <c r="P58" s="9" t="n"/>
      <c r="Q58" s="9" t="n"/>
      <c r="R58" s="9" t="n"/>
      <c r="S58" s="9" t="n"/>
    </row>
    <row r="59">
      <c r="A59" s="9" t="n"/>
      <c r="B59" s="9" t="n"/>
      <c r="C59" s="30" t="n"/>
      <c r="D59" s="9">
        <f>IF($C59="","",YEAR($C59)&amp;"-"&amp;TEXT(MONTH($C59),"00"))</f>
        <v/>
      </c>
      <c r="E59" s="9" t="n"/>
      <c r="F59" s="9" t="n"/>
      <c r="G59" s="9" t="n"/>
      <c r="H59" s="24" t="n"/>
      <c r="I59" s="9" t="n"/>
      <c r="J59" s="24" t="n"/>
      <c r="K59" s="24" t="n"/>
      <c r="L59" s="24">
        <f>IF($H59="","",ROUND($H59*$J59-N($K59),2))</f>
        <v/>
      </c>
      <c r="M59" s="31" t="n"/>
      <c r="N59" s="24">
        <f>IF(OR($L59="",$M59=""),"",ROUND($L59-$L59/(1+$M59/100),2))</f>
        <v/>
      </c>
      <c r="O59" s="9" t="n"/>
      <c r="P59" s="9" t="n"/>
      <c r="Q59" s="9" t="n"/>
      <c r="R59" s="9" t="n"/>
      <c r="S59" s="9" t="n"/>
    </row>
    <row r="60">
      <c r="A60" s="9" t="n"/>
      <c r="B60" s="9" t="n"/>
      <c r="C60" s="30" t="n"/>
      <c r="D60" s="9">
        <f>IF($C60="","",YEAR($C60)&amp;"-"&amp;TEXT(MONTH($C60),"00"))</f>
        <v/>
      </c>
      <c r="E60" s="9" t="n"/>
      <c r="F60" s="9" t="n"/>
      <c r="G60" s="9" t="n"/>
      <c r="H60" s="24" t="n"/>
      <c r="I60" s="9" t="n"/>
      <c r="J60" s="24" t="n"/>
      <c r="K60" s="24" t="n"/>
      <c r="L60" s="24">
        <f>IF($H60="","",ROUND($H60*$J60-N($K60),2))</f>
        <v/>
      </c>
      <c r="M60" s="31" t="n"/>
      <c r="N60" s="24">
        <f>IF(OR($L60="",$M60=""),"",ROUND($L60-$L60/(1+$M60/100),2))</f>
        <v/>
      </c>
      <c r="O60" s="9" t="n"/>
      <c r="P60" s="9" t="n"/>
      <c r="Q60" s="9" t="n"/>
      <c r="R60" s="9" t="n"/>
      <c r="S60" s="9" t="n"/>
    </row>
    <row r="61">
      <c r="A61" s="9" t="n"/>
      <c r="B61" s="9" t="n"/>
      <c r="C61" s="30" t="n"/>
      <c r="D61" s="9">
        <f>IF($C61="","",YEAR($C61)&amp;"-"&amp;TEXT(MONTH($C61),"00"))</f>
        <v/>
      </c>
      <c r="E61" s="9" t="n"/>
      <c r="F61" s="9" t="n"/>
      <c r="G61" s="9" t="n"/>
      <c r="H61" s="24" t="n"/>
      <c r="I61" s="9" t="n"/>
      <c r="J61" s="24" t="n"/>
      <c r="K61" s="24" t="n"/>
      <c r="L61" s="24">
        <f>IF($H61="","",ROUND($H61*$J61-N($K61),2))</f>
        <v/>
      </c>
      <c r="M61" s="31" t="n"/>
      <c r="N61" s="24">
        <f>IF(OR($L61="",$M61=""),"",ROUND($L61-$L61/(1+$M61/100),2))</f>
        <v/>
      </c>
      <c r="O61" s="9" t="n"/>
      <c r="P61" s="9" t="n"/>
      <c r="Q61" s="9" t="n"/>
      <c r="R61" s="9" t="n"/>
      <c r="S61" s="9" t="n"/>
    </row>
    <row r="62">
      <c r="A62" s="9" t="n"/>
      <c r="B62" s="9" t="n"/>
      <c r="C62" s="30" t="n"/>
      <c r="D62" s="9">
        <f>IF($C62="","",YEAR($C62)&amp;"-"&amp;TEXT(MONTH($C62),"00"))</f>
        <v/>
      </c>
      <c r="E62" s="9" t="n"/>
      <c r="F62" s="9" t="n"/>
      <c r="G62" s="9" t="n"/>
      <c r="H62" s="24" t="n"/>
      <c r="I62" s="9" t="n"/>
      <c r="J62" s="24" t="n"/>
      <c r="K62" s="24" t="n"/>
      <c r="L62" s="24">
        <f>IF($H62="","",ROUND($H62*$J62-N($K62),2))</f>
        <v/>
      </c>
      <c r="M62" s="31" t="n"/>
      <c r="N62" s="24">
        <f>IF(OR($L62="",$M62=""),"",ROUND($L62-$L62/(1+$M62/100),2))</f>
        <v/>
      </c>
      <c r="O62" s="9" t="n"/>
      <c r="P62" s="9" t="n"/>
      <c r="Q62" s="9" t="n"/>
      <c r="R62" s="9" t="n"/>
      <c r="S62" s="9" t="n"/>
    </row>
    <row r="63">
      <c r="A63" s="9" t="n"/>
      <c r="B63" s="9" t="n"/>
      <c r="C63" s="30" t="n"/>
      <c r="D63" s="9">
        <f>IF($C63="","",YEAR($C63)&amp;"-"&amp;TEXT(MONTH($C63),"00"))</f>
        <v/>
      </c>
      <c r="E63" s="9" t="n"/>
      <c r="F63" s="9" t="n"/>
      <c r="G63" s="9" t="n"/>
      <c r="H63" s="24" t="n"/>
      <c r="I63" s="9" t="n"/>
      <c r="J63" s="24" t="n"/>
      <c r="K63" s="24" t="n"/>
      <c r="L63" s="24">
        <f>IF($H63="","",ROUND($H63*$J63-N($K63),2))</f>
        <v/>
      </c>
      <c r="M63" s="31" t="n"/>
      <c r="N63" s="24">
        <f>IF(OR($L63="",$M63=""),"",ROUND($L63-$L63/(1+$M63/100),2))</f>
        <v/>
      </c>
      <c r="O63" s="9" t="n"/>
      <c r="P63" s="9" t="n"/>
      <c r="Q63" s="9" t="n"/>
      <c r="R63" s="9" t="n"/>
      <c r="S63" s="9" t="n"/>
    </row>
    <row r="64">
      <c r="A64" s="9" t="n"/>
      <c r="B64" s="9" t="n"/>
      <c r="C64" s="30" t="n"/>
      <c r="D64" s="9">
        <f>IF($C64="","",YEAR($C64)&amp;"-"&amp;TEXT(MONTH($C64),"00"))</f>
        <v/>
      </c>
      <c r="E64" s="9" t="n"/>
      <c r="F64" s="9" t="n"/>
      <c r="G64" s="9" t="n"/>
      <c r="H64" s="24" t="n"/>
      <c r="I64" s="9" t="n"/>
      <c r="J64" s="24" t="n"/>
      <c r="K64" s="24" t="n"/>
      <c r="L64" s="24">
        <f>IF($H64="","",ROUND($H64*$J64-N($K64),2))</f>
        <v/>
      </c>
      <c r="M64" s="31" t="n"/>
      <c r="N64" s="24">
        <f>IF(OR($L64="",$M64=""),"",ROUND($L64-$L64/(1+$M64/100),2))</f>
        <v/>
      </c>
      <c r="O64" s="9" t="n"/>
      <c r="P64" s="9" t="n"/>
      <c r="Q64" s="9" t="n"/>
      <c r="R64" s="9" t="n"/>
      <c r="S64" s="9" t="n"/>
    </row>
    <row r="65">
      <c r="A65" s="9" t="n"/>
      <c r="B65" s="9" t="n"/>
      <c r="C65" s="30" t="n"/>
      <c r="D65" s="9">
        <f>IF($C65="","",YEAR($C65)&amp;"-"&amp;TEXT(MONTH($C65),"00"))</f>
        <v/>
      </c>
      <c r="E65" s="9" t="n"/>
      <c r="F65" s="9" t="n"/>
      <c r="G65" s="9" t="n"/>
      <c r="H65" s="24" t="n"/>
      <c r="I65" s="9" t="n"/>
      <c r="J65" s="24" t="n"/>
      <c r="K65" s="24" t="n"/>
      <c r="L65" s="24">
        <f>IF($H65="","",ROUND($H65*$J65-N($K65),2))</f>
        <v/>
      </c>
      <c r="M65" s="31" t="n"/>
      <c r="N65" s="24">
        <f>IF(OR($L65="",$M65=""),"",ROUND($L65-$L65/(1+$M65/100),2))</f>
        <v/>
      </c>
      <c r="O65" s="9" t="n"/>
      <c r="P65" s="9" t="n"/>
      <c r="Q65" s="9" t="n"/>
      <c r="R65" s="9" t="n"/>
      <c r="S65" s="9" t="n"/>
    </row>
    <row r="66">
      <c r="A66" s="9" t="n"/>
      <c r="B66" s="9" t="n"/>
      <c r="C66" s="30" t="n"/>
      <c r="D66" s="9">
        <f>IF($C66="","",YEAR($C66)&amp;"-"&amp;TEXT(MONTH($C66),"00"))</f>
        <v/>
      </c>
      <c r="E66" s="9" t="n"/>
      <c r="F66" s="9" t="n"/>
      <c r="G66" s="9" t="n"/>
      <c r="H66" s="24" t="n"/>
      <c r="I66" s="9" t="n"/>
      <c r="J66" s="24" t="n"/>
      <c r="K66" s="24" t="n"/>
      <c r="L66" s="24">
        <f>IF($H66="","",ROUND($H66*$J66-N($K66),2))</f>
        <v/>
      </c>
      <c r="M66" s="31" t="n"/>
      <c r="N66" s="24">
        <f>IF(OR($L66="",$M66=""),"",ROUND($L66-$L66/(1+$M66/100),2))</f>
        <v/>
      </c>
      <c r="O66" s="9" t="n"/>
      <c r="P66" s="9" t="n"/>
      <c r="Q66" s="9" t="n"/>
      <c r="R66" s="9" t="n"/>
      <c r="S66" s="9" t="n"/>
    </row>
    <row r="67">
      <c r="A67" s="9" t="n"/>
      <c r="B67" s="9" t="n"/>
      <c r="C67" s="30" t="n"/>
      <c r="D67" s="9">
        <f>IF($C67="","",YEAR($C67)&amp;"-"&amp;TEXT(MONTH($C67),"00"))</f>
        <v/>
      </c>
      <c r="E67" s="9" t="n"/>
      <c r="F67" s="9" t="n"/>
      <c r="G67" s="9" t="n"/>
      <c r="H67" s="24" t="n"/>
      <c r="I67" s="9" t="n"/>
      <c r="J67" s="24" t="n"/>
      <c r="K67" s="24" t="n"/>
      <c r="L67" s="24">
        <f>IF($H67="","",ROUND($H67*$J67-N($K67),2))</f>
        <v/>
      </c>
      <c r="M67" s="31" t="n"/>
      <c r="N67" s="24">
        <f>IF(OR($L67="",$M67=""),"",ROUND($L67-$L67/(1+$M67/100),2))</f>
        <v/>
      </c>
      <c r="O67" s="9" t="n"/>
      <c r="P67" s="9" t="n"/>
      <c r="Q67" s="9" t="n"/>
      <c r="R67" s="9" t="n"/>
      <c r="S67" s="9" t="n"/>
    </row>
    <row r="68">
      <c r="A68" s="9" t="n"/>
      <c r="B68" s="9" t="n"/>
      <c r="C68" s="30" t="n"/>
      <c r="D68" s="9">
        <f>IF($C68="","",YEAR($C68)&amp;"-"&amp;TEXT(MONTH($C68),"00"))</f>
        <v/>
      </c>
      <c r="E68" s="9" t="n"/>
      <c r="F68" s="9" t="n"/>
      <c r="G68" s="9" t="n"/>
      <c r="H68" s="24" t="n"/>
      <c r="I68" s="9" t="n"/>
      <c r="J68" s="24" t="n"/>
      <c r="K68" s="24" t="n"/>
      <c r="L68" s="24">
        <f>IF($H68="","",ROUND($H68*$J68-N($K68),2))</f>
        <v/>
      </c>
      <c r="M68" s="31" t="n"/>
      <c r="N68" s="24">
        <f>IF(OR($L68="",$M68=""),"",ROUND($L68-$L68/(1+$M68/100),2))</f>
        <v/>
      </c>
      <c r="O68" s="9" t="n"/>
      <c r="P68" s="9" t="n"/>
      <c r="Q68" s="9" t="n"/>
      <c r="R68" s="9" t="n"/>
      <c r="S68" s="9" t="n"/>
    </row>
    <row r="69">
      <c r="A69" s="9" t="n"/>
      <c r="B69" s="9" t="n"/>
      <c r="C69" s="30" t="n"/>
      <c r="D69" s="9">
        <f>IF($C69="","",YEAR($C69)&amp;"-"&amp;TEXT(MONTH($C69),"00"))</f>
        <v/>
      </c>
      <c r="E69" s="9" t="n"/>
      <c r="F69" s="9" t="n"/>
      <c r="G69" s="9" t="n"/>
      <c r="H69" s="24" t="n"/>
      <c r="I69" s="9" t="n"/>
      <c r="J69" s="24" t="n"/>
      <c r="K69" s="24" t="n"/>
      <c r="L69" s="24">
        <f>IF($H69="","",ROUND($H69*$J69-N($K69),2))</f>
        <v/>
      </c>
      <c r="M69" s="31" t="n"/>
      <c r="N69" s="24">
        <f>IF(OR($L69="",$M69=""),"",ROUND($L69-$L69/(1+$M69/100),2))</f>
        <v/>
      </c>
      <c r="O69" s="9" t="n"/>
      <c r="P69" s="9" t="n"/>
      <c r="Q69" s="9" t="n"/>
      <c r="R69" s="9" t="n"/>
      <c r="S69" s="9" t="n"/>
    </row>
    <row r="70">
      <c r="A70" s="9" t="n"/>
      <c r="B70" s="9" t="n"/>
      <c r="C70" s="30" t="n"/>
      <c r="D70" s="9">
        <f>IF($C70="","",YEAR($C70)&amp;"-"&amp;TEXT(MONTH($C70),"00"))</f>
        <v/>
      </c>
      <c r="E70" s="9" t="n"/>
      <c r="F70" s="9" t="n"/>
      <c r="G70" s="9" t="n"/>
      <c r="H70" s="24" t="n"/>
      <c r="I70" s="9" t="n"/>
      <c r="J70" s="24" t="n"/>
      <c r="K70" s="24" t="n"/>
      <c r="L70" s="24">
        <f>IF($H70="","",ROUND($H70*$J70-N($K70),2))</f>
        <v/>
      </c>
      <c r="M70" s="31" t="n"/>
      <c r="N70" s="24">
        <f>IF(OR($L70="",$M70=""),"",ROUND($L70-$L70/(1+$M70/100),2))</f>
        <v/>
      </c>
      <c r="O70" s="9" t="n"/>
      <c r="P70" s="9" t="n"/>
      <c r="Q70" s="9" t="n"/>
      <c r="R70" s="9" t="n"/>
      <c r="S70" s="9" t="n"/>
    </row>
    <row r="71">
      <c r="A71" s="9" t="n"/>
      <c r="B71" s="9" t="n"/>
      <c r="C71" s="30" t="n"/>
      <c r="D71" s="9">
        <f>IF($C71="","",YEAR($C71)&amp;"-"&amp;TEXT(MONTH($C71),"00"))</f>
        <v/>
      </c>
      <c r="E71" s="9" t="n"/>
      <c r="F71" s="9" t="n"/>
      <c r="G71" s="9" t="n"/>
      <c r="H71" s="24" t="n"/>
      <c r="I71" s="9" t="n"/>
      <c r="J71" s="24" t="n"/>
      <c r="K71" s="24" t="n"/>
      <c r="L71" s="24">
        <f>IF($H71="","",ROUND($H71*$J71-N($K71),2))</f>
        <v/>
      </c>
      <c r="M71" s="31" t="n"/>
      <c r="N71" s="24">
        <f>IF(OR($L71="",$M71=""),"",ROUND($L71-$L71/(1+$M71/100),2))</f>
        <v/>
      </c>
      <c r="O71" s="9" t="n"/>
      <c r="P71" s="9" t="n"/>
      <c r="Q71" s="9" t="n"/>
      <c r="R71" s="9" t="n"/>
      <c r="S71" s="9" t="n"/>
    </row>
    <row r="72">
      <c r="A72" s="9" t="n"/>
      <c r="B72" s="9" t="n"/>
      <c r="C72" s="30" t="n"/>
      <c r="D72" s="9">
        <f>IF($C72="","",YEAR($C72)&amp;"-"&amp;TEXT(MONTH($C72),"00"))</f>
        <v/>
      </c>
      <c r="E72" s="9" t="n"/>
      <c r="F72" s="9" t="n"/>
      <c r="G72" s="9" t="n"/>
      <c r="H72" s="24" t="n"/>
      <c r="I72" s="9" t="n"/>
      <c r="J72" s="24" t="n"/>
      <c r="K72" s="24" t="n"/>
      <c r="L72" s="24">
        <f>IF($H72="","",ROUND($H72*$J72-N($K72),2))</f>
        <v/>
      </c>
      <c r="M72" s="31" t="n"/>
      <c r="N72" s="24">
        <f>IF(OR($L72="",$M72=""),"",ROUND($L72-$L72/(1+$M72/100),2))</f>
        <v/>
      </c>
      <c r="O72" s="9" t="n"/>
      <c r="P72" s="9" t="n"/>
      <c r="Q72" s="9" t="n"/>
      <c r="R72" s="9" t="n"/>
      <c r="S72" s="9" t="n"/>
    </row>
    <row r="73">
      <c r="A73" s="9" t="n"/>
      <c r="B73" s="9" t="n"/>
      <c r="C73" s="30" t="n"/>
      <c r="D73" s="9">
        <f>IF($C73="","",YEAR($C73)&amp;"-"&amp;TEXT(MONTH($C73),"00"))</f>
        <v/>
      </c>
      <c r="E73" s="9" t="n"/>
      <c r="F73" s="9" t="n"/>
      <c r="G73" s="9" t="n"/>
      <c r="H73" s="24" t="n"/>
      <c r="I73" s="9" t="n"/>
      <c r="J73" s="24" t="n"/>
      <c r="K73" s="24" t="n"/>
      <c r="L73" s="24">
        <f>IF($H73="","",ROUND($H73*$J73-N($K73),2))</f>
        <v/>
      </c>
      <c r="M73" s="31" t="n"/>
      <c r="N73" s="24">
        <f>IF(OR($L73="",$M73=""),"",ROUND($L73-$L73/(1+$M73/100),2))</f>
        <v/>
      </c>
      <c r="O73" s="9" t="n"/>
      <c r="P73" s="9" t="n"/>
      <c r="Q73" s="9" t="n"/>
      <c r="R73" s="9" t="n"/>
      <c r="S73" s="9" t="n"/>
    </row>
    <row r="74">
      <c r="A74" s="9" t="n"/>
      <c r="B74" s="9" t="n"/>
      <c r="C74" s="30" t="n"/>
      <c r="D74" s="9">
        <f>IF($C74="","",YEAR($C74)&amp;"-"&amp;TEXT(MONTH($C74),"00"))</f>
        <v/>
      </c>
      <c r="E74" s="9" t="n"/>
      <c r="F74" s="9" t="n"/>
      <c r="G74" s="9" t="n"/>
      <c r="H74" s="24" t="n"/>
      <c r="I74" s="9" t="n"/>
      <c r="J74" s="24" t="n"/>
      <c r="K74" s="24" t="n"/>
      <c r="L74" s="24">
        <f>IF($H74="","",ROUND($H74*$J74-N($K74),2))</f>
        <v/>
      </c>
      <c r="M74" s="31" t="n"/>
      <c r="N74" s="24">
        <f>IF(OR($L74="",$M74=""),"",ROUND($L74-$L74/(1+$M74/100),2))</f>
        <v/>
      </c>
      <c r="O74" s="9" t="n"/>
      <c r="P74" s="9" t="n"/>
      <c r="Q74" s="9" t="n"/>
      <c r="R74" s="9" t="n"/>
      <c r="S74" s="9" t="n"/>
    </row>
    <row r="75">
      <c r="A75" s="9" t="n"/>
      <c r="B75" s="9" t="n"/>
      <c r="C75" s="30" t="n"/>
      <c r="D75" s="9">
        <f>IF($C75="","",YEAR($C75)&amp;"-"&amp;TEXT(MONTH($C75),"00"))</f>
        <v/>
      </c>
      <c r="E75" s="9" t="n"/>
      <c r="F75" s="9" t="n"/>
      <c r="G75" s="9" t="n"/>
      <c r="H75" s="24" t="n"/>
      <c r="I75" s="9" t="n"/>
      <c r="J75" s="24" t="n"/>
      <c r="K75" s="24" t="n"/>
      <c r="L75" s="24">
        <f>IF($H75="","",ROUND($H75*$J75-N($K75),2))</f>
        <v/>
      </c>
      <c r="M75" s="31" t="n"/>
      <c r="N75" s="24">
        <f>IF(OR($L75="",$M75=""),"",ROUND($L75-$L75/(1+$M75/100),2))</f>
        <v/>
      </c>
      <c r="O75" s="9" t="n"/>
      <c r="P75" s="9" t="n"/>
      <c r="Q75" s="9" t="n"/>
      <c r="R75" s="9" t="n"/>
      <c r="S75" s="9" t="n"/>
    </row>
    <row r="76">
      <c r="A76" s="9" t="n"/>
      <c r="B76" s="9" t="n"/>
      <c r="C76" s="30" t="n"/>
      <c r="D76" s="9">
        <f>IF($C76="","",YEAR($C76)&amp;"-"&amp;TEXT(MONTH($C76),"00"))</f>
        <v/>
      </c>
      <c r="E76" s="9" t="n"/>
      <c r="F76" s="9" t="n"/>
      <c r="G76" s="9" t="n"/>
      <c r="H76" s="24" t="n"/>
      <c r="I76" s="9" t="n"/>
      <c r="J76" s="24" t="n"/>
      <c r="K76" s="24" t="n"/>
      <c r="L76" s="24">
        <f>IF($H76="","",ROUND($H76*$J76-N($K76),2))</f>
        <v/>
      </c>
      <c r="M76" s="31" t="n"/>
      <c r="N76" s="24">
        <f>IF(OR($L76="",$M76=""),"",ROUND($L76-$L76/(1+$M76/100),2))</f>
        <v/>
      </c>
      <c r="O76" s="9" t="n"/>
      <c r="P76" s="9" t="n"/>
      <c r="Q76" s="9" t="n"/>
      <c r="R76" s="9" t="n"/>
      <c r="S76" s="9" t="n"/>
    </row>
    <row r="77">
      <c r="A77" s="9" t="n"/>
      <c r="B77" s="9" t="n"/>
      <c r="C77" s="30" t="n"/>
      <c r="D77" s="9">
        <f>IF($C77="","",YEAR($C77)&amp;"-"&amp;TEXT(MONTH($C77),"00"))</f>
        <v/>
      </c>
      <c r="E77" s="9" t="n"/>
      <c r="F77" s="9" t="n"/>
      <c r="G77" s="9" t="n"/>
      <c r="H77" s="24" t="n"/>
      <c r="I77" s="9" t="n"/>
      <c r="J77" s="24" t="n"/>
      <c r="K77" s="24" t="n"/>
      <c r="L77" s="24">
        <f>IF($H77="","",ROUND($H77*$J77-N($K77),2))</f>
        <v/>
      </c>
      <c r="M77" s="31" t="n"/>
      <c r="N77" s="24">
        <f>IF(OR($L77="",$M77=""),"",ROUND($L77-$L77/(1+$M77/100),2))</f>
        <v/>
      </c>
      <c r="O77" s="9" t="n"/>
      <c r="P77" s="9" t="n"/>
      <c r="Q77" s="9" t="n"/>
      <c r="R77" s="9" t="n"/>
      <c r="S77" s="9" t="n"/>
    </row>
    <row r="78">
      <c r="A78" s="9" t="n"/>
      <c r="B78" s="9" t="n"/>
      <c r="C78" s="30" t="n"/>
      <c r="D78" s="9">
        <f>IF($C78="","",YEAR($C78)&amp;"-"&amp;TEXT(MONTH($C78),"00"))</f>
        <v/>
      </c>
      <c r="E78" s="9" t="n"/>
      <c r="F78" s="9" t="n"/>
      <c r="G78" s="9" t="n"/>
      <c r="H78" s="24" t="n"/>
      <c r="I78" s="9" t="n"/>
      <c r="J78" s="24" t="n"/>
      <c r="K78" s="24" t="n"/>
      <c r="L78" s="24">
        <f>IF($H78="","",ROUND($H78*$J78-N($K78),2))</f>
        <v/>
      </c>
      <c r="M78" s="31" t="n"/>
      <c r="N78" s="24">
        <f>IF(OR($L78="",$M78=""),"",ROUND($L78-$L78/(1+$M78/100),2))</f>
        <v/>
      </c>
      <c r="O78" s="9" t="n"/>
      <c r="P78" s="9" t="n"/>
      <c r="Q78" s="9" t="n"/>
      <c r="R78" s="9" t="n"/>
      <c r="S78" s="9" t="n"/>
    </row>
    <row r="79">
      <c r="A79" s="9" t="n"/>
      <c r="B79" s="9" t="n"/>
      <c r="C79" s="30" t="n"/>
      <c r="D79" s="9">
        <f>IF($C79="","",YEAR($C79)&amp;"-"&amp;TEXT(MONTH($C79),"00"))</f>
        <v/>
      </c>
      <c r="E79" s="9" t="n"/>
      <c r="F79" s="9" t="n"/>
      <c r="G79" s="9" t="n"/>
      <c r="H79" s="24" t="n"/>
      <c r="I79" s="9" t="n"/>
      <c r="J79" s="24" t="n"/>
      <c r="K79" s="24" t="n"/>
      <c r="L79" s="24">
        <f>IF($H79="","",ROUND($H79*$J79-N($K79),2))</f>
        <v/>
      </c>
      <c r="M79" s="31" t="n"/>
      <c r="N79" s="24">
        <f>IF(OR($L79="",$M79=""),"",ROUND($L79-$L79/(1+$M79/100),2))</f>
        <v/>
      </c>
      <c r="O79" s="9" t="n"/>
      <c r="P79" s="9" t="n"/>
      <c r="Q79" s="9" t="n"/>
      <c r="R79" s="9" t="n"/>
      <c r="S79" s="9" t="n"/>
    </row>
    <row r="80">
      <c r="A80" s="9" t="n"/>
      <c r="B80" s="9" t="n"/>
      <c r="C80" s="30" t="n"/>
      <c r="D80" s="9">
        <f>IF($C80="","",YEAR($C80)&amp;"-"&amp;TEXT(MONTH($C80),"00"))</f>
        <v/>
      </c>
      <c r="E80" s="9" t="n"/>
      <c r="F80" s="9" t="n"/>
      <c r="G80" s="9" t="n"/>
      <c r="H80" s="24" t="n"/>
      <c r="I80" s="9" t="n"/>
      <c r="J80" s="24" t="n"/>
      <c r="K80" s="24" t="n"/>
      <c r="L80" s="24">
        <f>IF($H80="","",ROUND($H80*$J80-N($K80),2))</f>
        <v/>
      </c>
      <c r="M80" s="31" t="n"/>
      <c r="N80" s="24">
        <f>IF(OR($L80="",$M80=""),"",ROUND($L80-$L80/(1+$M80/100),2))</f>
        <v/>
      </c>
      <c r="O80" s="9" t="n"/>
      <c r="P80" s="9" t="n"/>
      <c r="Q80" s="9" t="n"/>
      <c r="R80" s="9" t="n"/>
      <c r="S80" s="9" t="n"/>
    </row>
    <row r="81">
      <c r="A81" s="9" t="n"/>
      <c r="B81" s="9" t="n"/>
      <c r="C81" s="30" t="n"/>
      <c r="D81" s="9">
        <f>IF($C81="","",YEAR($C81)&amp;"-"&amp;TEXT(MONTH($C81),"00"))</f>
        <v/>
      </c>
      <c r="E81" s="9" t="n"/>
      <c r="F81" s="9" t="n"/>
      <c r="G81" s="9" t="n"/>
      <c r="H81" s="24" t="n"/>
      <c r="I81" s="9" t="n"/>
      <c r="J81" s="24" t="n"/>
      <c r="K81" s="24" t="n"/>
      <c r="L81" s="24">
        <f>IF($H81="","",ROUND($H81*$J81-N($K81),2))</f>
        <v/>
      </c>
      <c r="M81" s="31" t="n"/>
      <c r="N81" s="24">
        <f>IF(OR($L81="",$M81=""),"",ROUND($L81-$L81/(1+$M81/100),2))</f>
        <v/>
      </c>
      <c r="O81" s="9" t="n"/>
      <c r="P81" s="9" t="n"/>
      <c r="Q81" s="9" t="n"/>
      <c r="R81" s="9" t="n"/>
      <c r="S81" s="9" t="n"/>
    </row>
    <row r="82">
      <c r="A82" s="9" t="n"/>
      <c r="B82" s="9" t="n"/>
      <c r="C82" s="30" t="n"/>
      <c r="D82" s="9">
        <f>IF($C82="","",YEAR($C82)&amp;"-"&amp;TEXT(MONTH($C82),"00"))</f>
        <v/>
      </c>
      <c r="E82" s="9" t="n"/>
      <c r="F82" s="9" t="n"/>
      <c r="G82" s="9" t="n"/>
      <c r="H82" s="24" t="n"/>
      <c r="I82" s="9" t="n"/>
      <c r="J82" s="24" t="n"/>
      <c r="K82" s="24" t="n"/>
      <c r="L82" s="24">
        <f>IF($H82="","",ROUND($H82*$J82-N($K82),2))</f>
        <v/>
      </c>
      <c r="M82" s="31" t="n"/>
      <c r="N82" s="24">
        <f>IF(OR($L82="",$M82=""),"",ROUND($L82-$L82/(1+$M82/100),2))</f>
        <v/>
      </c>
      <c r="O82" s="9" t="n"/>
      <c r="P82" s="9" t="n"/>
      <c r="Q82" s="9" t="n"/>
      <c r="R82" s="9" t="n"/>
      <c r="S82" s="9" t="n"/>
    </row>
    <row r="83">
      <c r="A83" s="9" t="n"/>
      <c r="B83" s="9" t="n"/>
      <c r="C83" s="30" t="n"/>
      <c r="D83" s="9">
        <f>IF($C83="","",YEAR($C83)&amp;"-"&amp;TEXT(MONTH($C83),"00"))</f>
        <v/>
      </c>
      <c r="E83" s="9" t="n"/>
      <c r="F83" s="9" t="n"/>
      <c r="G83" s="9" t="n"/>
      <c r="H83" s="24" t="n"/>
      <c r="I83" s="9" t="n"/>
      <c r="J83" s="24" t="n"/>
      <c r="K83" s="24" t="n"/>
      <c r="L83" s="24">
        <f>IF($H83="","",ROUND($H83*$J83-N($K83),2))</f>
        <v/>
      </c>
      <c r="M83" s="31" t="n"/>
      <c r="N83" s="24">
        <f>IF(OR($L83="",$M83=""),"",ROUND($L83-$L83/(1+$M83/100),2))</f>
        <v/>
      </c>
      <c r="O83" s="9" t="n"/>
      <c r="P83" s="9" t="n"/>
      <c r="Q83" s="9" t="n"/>
      <c r="R83" s="9" t="n"/>
      <c r="S83" s="9" t="n"/>
    </row>
    <row r="84">
      <c r="A84" s="9" t="n"/>
      <c r="B84" s="9" t="n"/>
      <c r="C84" s="30" t="n"/>
      <c r="D84" s="9">
        <f>IF($C84="","",YEAR($C84)&amp;"-"&amp;TEXT(MONTH($C84),"00"))</f>
        <v/>
      </c>
      <c r="E84" s="9" t="n"/>
      <c r="F84" s="9" t="n"/>
      <c r="G84" s="9" t="n"/>
      <c r="H84" s="24" t="n"/>
      <c r="I84" s="9" t="n"/>
      <c r="J84" s="24" t="n"/>
      <c r="K84" s="24" t="n"/>
      <c r="L84" s="24">
        <f>IF($H84="","",ROUND($H84*$J84-N($K84),2))</f>
        <v/>
      </c>
      <c r="M84" s="31" t="n"/>
      <c r="N84" s="24">
        <f>IF(OR($L84="",$M84=""),"",ROUND($L84-$L84/(1+$M84/100),2))</f>
        <v/>
      </c>
      <c r="O84" s="9" t="n"/>
      <c r="P84" s="9" t="n"/>
      <c r="Q84" s="9" t="n"/>
      <c r="R84" s="9" t="n"/>
      <c r="S84" s="9" t="n"/>
    </row>
    <row r="85">
      <c r="A85" s="9" t="n"/>
      <c r="B85" s="9" t="n"/>
      <c r="C85" s="30" t="n"/>
      <c r="D85" s="9">
        <f>IF($C85="","",YEAR($C85)&amp;"-"&amp;TEXT(MONTH($C85),"00"))</f>
        <v/>
      </c>
      <c r="E85" s="9" t="n"/>
      <c r="F85" s="9" t="n"/>
      <c r="G85" s="9" t="n"/>
      <c r="H85" s="24" t="n"/>
      <c r="I85" s="9" t="n"/>
      <c r="J85" s="24" t="n"/>
      <c r="K85" s="24" t="n"/>
      <c r="L85" s="24">
        <f>IF($H85="","",ROUND($H85*$J85-N($K85),2))</f>
        <v/>
      </c>
      <c r="M85" s="31" t="n"/>
      <c r="N85" s="24">
        <f>IF(OR($L85="",$M85=""),"",ROUND($L85-$L85/(1+$M85/100),2))</f>
        <v/>
      </c>
      <c r="O85" s="9" t="n"/>
      <c r="P85" s="9" t="n"/>
      <c r="Q85" s="9" t="n"/>
      <c r="R85" s="9" t="n"/>
      <c r="S85" s="9" t="n"/>
    </row>
    <row r="86">
      <c r="A86" s="9" t="n"/>
      <c r="B86" s="9" t="n"/>
      <c r="C86" s="30" t="n"/>
      <c r="D86" s="9">
        <f>IF($C86="","",YEAR($C86)&amp;"-"&amp;TEXT(MONTH($C86),"00"))</f>
        <v/>
      </c>
      <c r="E86" s="9" t="n"/>
      <c r="F86" s="9" t="n"/>
      <c r="G86" s="9" t="n"/>
      <c r="H86" s="24" t="n"/>
      <c r="I86" s="9" t="n"/>
      <c r="J86" s="24" t="n"/>
      <c r="K86" s="24" t="n"/>
      <c r="L86" s="24">
        <f>IF($H86="","",ROUND($H86*$J86-N($K86),2))</f>
        <v/>
      </c>
      <c r="M86" s="31" t="n"/>
      <c r="N86" s="24">
        <f>IF(OR($L86="",$M86=""),"",ROUND($L86-$L86/(1+$M86/100),2))</f>
        <v/>
      </c>
      <c r="O86" s="9" t="n"/>
      <c r="P86" s="9" t="n"/>
      <c r="Q86" s="9" t="n"/>
      <c r="R86" s="9" t="n"/>
      <c r="S86" s="9" t="n"/>
    </row>
    <row r="87">
      <c r="A87" s="9" t="n"/>
      <c r="B87" s="9" t="n"/>
      <c r="C87" s="30" t="n"/>
      <c r="D87" s="9">
        <f>IF($C87="","",YEAR($C87)&amp;"-"&amp;TEXT(MONTH($C87),"00"))</f>
        <v/>
      </c>
      <c r="E87" s="9" t="n"/>
      <c r="F87" s="9" t="n"/>
      <c r="G87" s="9" t="n"/>
      <c r="H87" s="24" t="n"/>
      <c r="I87" s="9" t="n"/>
      <c r="J87" s="24" t="n"/>
      <c r="K87" s="24" t="n"/>
      <c r="L87" s="24">
        <f>IF($H87="","",ROUND($H87*$J87-N($K87),2))</f>
        <v/>
      </c>
      <c r="M87" s="31" t="n"/>
      <c r="N87" s="24">
        <f>IF(OR($L87="",$M87=""),"",ROUND($L87-$L87/(1+$M87/100),2))</f>
        <v/>
      </c>
      <c r="O87" s="9" t="n"/>
      <c r="P87" s="9" t="n"/>
      <c r="Q87" s="9" t="n"/>
      <c r="R87" s="9" t="n"/>
      <c r="S87" s="9" t="n"/>
    </row>
    <row r="88">
      <c r="A88" s="9" t="n"/>
      <c r="B88" s="9" t="n"/>
      <c r="C88" s="30" t="n"/>
      <c r="D88" s="9">
        <f>IF($C88="","",YEAR($C88)&amp;"-"&amp;TEXT(MONTH($C88),"00"))</f>
        <v/>
      </c>
      <c r="E88" s="9" t="n"/>
      <c r="F88" s="9" t="n"/>
      <c r="G88" s="9" t="n"/>
      <c r="H88" s="24" t="n"/>
      <c r="I88" s="9" t="n"/>
      <c r="J88" s="24" t="n"/>
      <c r="K88" s="24" t="n"/>
      <c r="L88" s="24">
        <f>IF($H88="","",ROUND($H88*$J88-N($K88),2))</f>
        <v/>
      </c>
      <c r="M88" s="31" t="n"/>
      <c r="N88" s="24">
        <f>IF(OR($L88="",$M88=""),"",ROUND($L88-$L88/(1+$M88/100),2))</f>
        <v/>
      </c>
      <c r="O88" s="9" t="n"/>
      <c r="P88" s="9" t="n"/>
      <c r="Q88" s="9" t="n"/>
      <c r="R88" s="9" t="n"/>
      <c r="S88" s="9" t="n"/>
    </row>
    <row r="89">
      <c r="A89" s="9" t="n"/>
      <c r="B89" s="9" t="n"/>
      <c r="C89" s="30" t="n"/>
      <c r="D89" s="9">
        <f>IF($C89="","",YEAR($C89)&amp;"-"&amp;TEXT(MONTH($C89),"00"))</f>
        <v/>
      </c>
      <c r="E89" s="9" t="n"/>
      <c r="F89" s="9" t="n"/>
      <c r="G89" s="9" t="n"/>
      <c r="H89" s="24" t="n"/>
      <c r="I89" s="9" t="n"/>
      <c r="J89" s="24" t="n"/>
      <c r="K89" s="24" t="n"/>
      <c r="L89" s="24">
        <f>IF($H89="","",ROUND($H89*$J89-N($K89),2))</f>
        <v/>
      </c>
      <c r="M89" s="31" t="n"/>
      <c r="N89" s="24">
        <f>IF(OR($L89="",$M89=""),"",ROUND($L89-$L89/(1+$M89/100),2))</f>
        <v/>
      </c>
      <c r="O89" s="9" t="n"/>
      <c r="P89" s="9" t="n"/>
      <c r="Q89" s="9" t="n"/>
      <c r="R89" s="9" t="n"/>
      <c r="S89" s="9" t="n"/>
    </row>
    <row r="90">
      <c r="A90" s="9" t="n"/>
      <c r="B90" s="9" t="n"/>
      <c r="C90" s="30" t="n"/>
      <c r="D90" s="9">
        <f>IF($C90="","",YEAR($C90)&amp;"-"&amp;TEXT(MONTH($C90),"00"))</f>
        <v/>
      </c>
      <c r="E90" s="9" t="n"/>
      <c r="F90" s="9" t="n"/>
      <c r="G90" s="9" t="n"/>
      <c r="H90" s="24" t="n"/>
      <c r="I90" s="9" t="n"/>
      <c r="J90" s="24" t="n"/>
      <c r="K90" s="24" t="n"/>
      <c r="L90" s="24">
        <f>IF($H90="","",ROUND($H90*$J90-N($K90),2))</f>
        <v/>
      </c>
      <c r="M90" s="31" t="n"/>
      <c r="N90" s="24">
        <f>IF(OR($L90="",$M90=""),"",ROUND($L90-$L90/(1+$M90/100),2))</f>
        <v/>
      </c>
      <c r="O90" s="9" t="n"/>
      <c r="P90" s="9" t="n"/>
      <c r="Q90" s="9" t="n"/>
      <c r="R90" s="9" t="n"/>
      <c r="S90" s="9" t="n"/>
    </row>
    <row r="91">
      <c r="A91" s="9" t="n"/>
      <c r="B91" s="9" t="n"/>
      <c r="C91" s="30" t="n"/>
      <c r="D91" s="9">
        <f>IF($C91="","",YEAR($C91)&amp;"-"&amp;TEXT(MONTH($C91),"00"))</f>
        <v/>
      </c>
      <c r="E91" s="9" t="n"/>
      <c r="F91" s="9" t="n"/>
      <c r="G91" s="9" t="n"/>
      <c r="H91" s="24" t="n"/>
      <c r="I91" s="9" t="n"/>
      <c r="J91" s="24" t="n"/>
      <c r="K91" s="24" t="n"/>
      <c r="L91" s="24">
        <f>IF($H91="","",ROUND($H91*$J91-N($K91),2))</f>
        <v/>
      </c>
      <c r="M91" s="31" t="n"/>
      <c r="N91" s="24">
        <f>IF(OR($L91="",$M91=""),"",ROUND($L91-$L91/(1+$M91/100),2))</f>
        <v/>
      </c>
      <c r="O91" s="9" t="n"/>
      <c r="P91" s="9" t="n"/>
      <c r="Q91" s="9" t="n"/>
      <c r="R91" s="9" t="n"/>
      <c r="S91" s="9" t="n"/>
    </row>
    <row r="92">
      <c r="A92" s="9" t="n"/>
      <c r="B92" s="9" t="n"/>
      <c r="C92" s="30" t="n"/>
      <c r="D92" s="9">
        <f>IF($C92="","",YEAR($C92)&amp;"-"&amp;TEXT(MONTH($C92),"00"))</f>
        <v/>
      </c>
      <c r="E92" s="9" t="n"/>
      <c r="F92" s="9" t="n"/>
      <c r="G92" s="9" t="n"/>
      <c r="H92" s="24" t="n"/>
      <c r="I92" s="9" t="n"/>
      <c r="J92" s="24" t="n"/>
      <c r="K92" s="24" t="n"/>
      <c r="L92" s="24">
        <f>IF($H92="","",ROUND($H92*$J92-N($K92),2))</f>
        <v/>
      </c>
      <c r="M92" s="31" t="n"/>
      <c r="N92" s="24">
        <f>IF(OR($L92="",$M92=""),"",ROUND($L92-$L92/(1+$M92/100),2))</f>
        <v/>
      </c>
      <c r="O92" s="9" t="n"/>
      <c r="P92" s="9" t="n"/>
      <c r="Q92" s="9" t="n"/>
      <c r="R92" s="9" t="n"/>
      <c r="S92" s="9" t="n"/>
    </row>
    <row r="93">
      <c r="A93" s="9" t="n"/>
      <c r="B93" s="9" t="n"/>
      <c r="C93" s="30" t="n"/>
      <c r="D93" s="9">
        <f>IF($C93="","",YEAR($C93)&amp;"-"&amp;TEXT(MONTH($C93),"00"))</f>
        <v/>
      </c>
      <c r="E93" s="9" t="n"/>
      <c r="F93" s="9" t="n"/>
      <c r="G93" s="9" t="n"/>
      <c r="H93" s="24" t="n"/>
      <c r="I93" s="9" t="n"/>
      <c r="J93" s="24" t="n"/>
      <c r="K93" s="24" t="n"/>
      <c r="L93" s="24">
        <f>IF($H93="","",ROUND($H93*$J93-N($K93),2))</f>
        <v/>
      </c>
      <c r="M93" s="31" t="n"/>
      <c r="N93" s="24">
        <f>IF(OR($L93="",$M93=""),"",ROUND($L93-$L93/(1+$M93/100),2))</f>
        <v/>
      </c>
      <c r="O93" s="9" t="n"/>
      <c r="P93" s="9" t="n"/>
      <c r="Q93" s="9" t="n"/>
      <c r="R93" s="9" t="n"/>
      <c r="S93" s="9" t="n"/>
    </row>
    <row r="94">
      <c r="A94" s="9" t="n"/>
      <c r="B94" s="9" t="n"/>
      <c r="C94" s="30" t="n"/>
      <c r="D94" s="9">
        <f>IF($C94="","",YEAR($C94)&amp;"-"&amp;TEXT(MONTH($C94),"00"))</f>
        <v/>
      </c>
      <c r="E94" s="9" t="n"/>
      <c r="F94" s="9" t="n"/>
      <c r="G94" s="9" t="n"/>
      <c r="H94" s="24" t="n"/>
      <c r="I94" s="9" t="n"/>
      <c r="J94" s="24" t="n"/>
      <c r="K94" s="24" t="n"/>
      <c r="L94" s="24">
        <f>IF($H94="","",ROUND($H94*$J94-N($K94),2))</f>
        <v/>
      </c>
      <c r="M94" s="31" t="n"/>
      <c r="N94" s="24">
        <f>IF(OR($L94="",$M94=""),"",ROUND($L94-$L94/(1+$M94/100),2))</f>
        <v/>
      </c>
      <c r="O94" s="9" t="n"/>
      <c r="P94" s="9" t="n"/>
      <c r="Q94" s="9" t="n"/>
      <c r="R94" s="9" t="n"/>
      <c r="S94" s="9" t="n"/>
    </row>
    <row r="95">
      <c r="A95" s="9" t="n"/>
      <c r="B95" s="9" t="n"/>
      <c r="C95" s="30" t="n"/>
      <c r="D95" s="9">
        <f>IF($C95="","",YEAR($C95)&amp;"-"&amp;TEXT(MONTH($C95),"00"))</f>
        <v/>
      </c>
      <c r="E95" s="9" t="n"/>
      <c r="F95" s="9" t="n"/>
      <c r="G95" s="9" t="n"/>
      <c r="H95" s="24" t="n"/>
      <c r="I95" s="9" t="n"/>
      <c r="J95" s="24" t="n"/>
      <c r="K95" s="24" t="n"/>
      <c r="L95" s="24">
        <f>IF($H95="","",ROUND($H95*$J95-N($K95),2))</f>
        <v/>
      </c>
      <c r="M95" s="31" t="n"/>
      <c r="N95" s="24">
        <f>IF(OR($L95="",$M95=""),"",ROUND($L95-$L95/(1+$M95/100),2))</f>
        <v/>
      </c>
      <c r="O95" s="9" t="n"/>
      <c r="P95" s="9" t="n"/>
      <c r="Q95" s="9" t="n"/>
      <c r="R95" s="9" t="n"/>
      <c r="S95" s="9" t="n"/>
    </row>
    <row r="96">
      <c r="A96" s="9" t="n"/>
      <c r="B96" s="9" t="n"/>
      <c r="C96" s="30" t="n"/>
      <c r="D96" s="9">
        <f>IF($C96="","",YEAR($C96)&amp;"-"&amp;TEXT(MONTH($C96),"00"))</f>
        <v/>
      </c>
      <c r="E96" s="9" t="n"/>
      <c r="F96" s="9" t="n"/>
      <c r="G96" s="9" t="n"/>
      <c r="H96" s="24" t="n"/>
      <c r="I96" s="9" t="n"/>
      <c r="J96" s="24" t="n"/>
      <c r="K96" s="24" t="n"/>
      <c r="L96" s="24">
        <f>IF($H96="","",ROUND($H96*$J96-N($K96),2))</f>
        <v/>
      </c>
      <c r="M96" s="31" t="n"/>
      <c r="N96" s="24">
        <f>IF(OR($L96="",$M96=""),"",ROUND($L96-$L96/(1+$M96/100),2))</f>
        <v/>
      </c>
      <c r="O96" s="9" t="n"/>
      <c r="P96" s="9" t="n"/>
      <c r="Q96" s="9" t="n"/>
      <c r="R96" s="9" t="n"/>
      <c r="S96" s="9" t="n"/>
    </row>
    <row r="97">
      <c r="A97" s="9" t="n"/>
      <c r="B97" s="9" t="n"/>
      <c r="C97" s="30" t="n"/>
      <c r="D97" s="9">
        <f>IF($C97="","",YEAR($C97)&amp;"-"&amp;TEXT(MONTH($C97),"00"))</f>
        <v/>
      </c>
      <c r="E97" s="9" t="n"/>
      <c r="F97" s="9" t="n"/>
      <c r="G97" s="9" t="n"/>
      <c r="H97" s="24" t="n"/>
      <c r="I97" s="9" t="n"/>
      <c r="J97" s="24" t="n"/>
      <c r="K97" s="24" t="n"/>
      <c r="L97" s="24">
        <f>IF($H97="","",ROUND($H97*$J97-N($K97),2))</f>
        <v/>
      </c>
      <c r="M97" s="31" t="n"/>
      <c r="N97" s="24">
        <f>IF(OR($L97="",$M97=""),"",ROUND($L97-$L97/(1+$M97/100),2))</f>
        <v/>
      </c>
      <c r="O97" s="9" t="n"/>
      <c r="P97" s="9" t="n"/>
      <c r="Q97" s="9" t="n"/>
      <c r="R97" s="9" t="n"/>
      <c r="S97" s="9" t="n"/>
    </row>
    <row r="98">
      <c r="A98" s="9" t="n"/>
      <c r="B98" s="9" t="n"/>
      <c r="C98" s="30" t="n"/>
      <c r="D98" s="9">
        <f>IF($C98="","",YEAR($C98)&amp;"-"&amp;TEXT(MONTH($C98),"00"))</f>
        <v/>
      </c>
      <c r="E98" s="9" t="n"/>
      <c r="F98" s="9" t="n"/>
      <c r="G98" s="9" t="n"/>
      <c r="H98" s="24" t="n"/>
      <c r="I98" s="9" t="n"/>
      <c r="J98" s="24" t="n"/>
      <c r="K98" s="24" t="n"/>
      <c r="L98" s="24">
        <f>IF($H98="","",ROUND($H98*$J98-N($K98),2))</f>
        <v/>
      </c>
      <c r="M98" s="31" t="n"/>
      <c r="N98" s="24">
        <f>IF(OR($L98="",$M98=""),"",ROUND($L98-$L98/(1+$M98/100),2))</f>
        <v/>
      </c>
      <c r="O98" s="9" t="n"/>
      <c r="P98" s="9" t="n"/>
      <c r="Q98" s="9" t="n"/>
      <c r="R98" s="9" t="n"/>
      <c r="S98" s="9" t="n"/>
    </row>
    <row r="99">
      <c r="A99" s="9" t="n"/>
      <c r="B99" s="9" t="n"/>
      <c r="C99" s="30" t="n"/>
      <c r="D99" s="9">
        <f>IF($C99="","",YEAR($C99)&amp;"-"&amp;TEXT(MONTH($C99),"00"))</f>
        <v/>
      </c>
      <c r="E99" s="9" t="n"/>
      <c r="F99" s="9" t="n"/>
      <c r="G99" s="9" t="n"/>
      <c r="H99" s="24" t="n"/>
      <c r="I99" s="9" t="n"/>
      <c r="J99" s="24" t="n"/>
      <c r="K99" s="24" t="n"/>
      <c r="L99" s="24">
        <f>IF($H99="","",ROUND($H99*$J99-N($K99),2))</f>
        <v/>
      </c>
      <c r="M99" s="31" t="n"/>
      <c r="N99" s="24">
        <f>IF(OR($L99="",$M99=""),"",ROUND($L99-$L99/(1+$M99/100),2))</f>
        <v/>
      </c>
      <c r="O99" s="9" t="n"/>
      <c r="P99" s="9" t="n"/>
      <c r="Q99" s="9" t="n"/>
      <c r="R99" s="9" t="n"/>
      <c r="S99" s="9" t="n"/>
    </row>
    <row r="100">
      <c r="A100" s="9" t="n"/>
      <c r="B100" s="9" t="n"/>
      <c r="C100" s="30" t="n"/>
      <c r="D100" s="9">
        <f>IF($C100="","",YEAR($C100)&amp;"-"&amp;TEXT(MONTH($C100),"00"))</f>
        <v/>
      </c>
      <c r="E100" s="9" t="n"/>
      <c r="F100" s="9" t="n"/>
      <c r="G100" s="9" t="n"/>
      <c r="H100" s="24" t="n"/>
      <c r="I100" s="9" t="n"/>
      <c r="J100" s="24" t="n"/>
      <c r="K100" s="24" t="n"/>
      <c r="L100" s="24">
        <f>IF($H100="","",ROUND($H100*$J100-N($K100),2))</f>
        <v/>
      </c>
      <c r="M100" s="31" t="n"/>
      <c r="N100" s="24">
        <f>IF(OR($L100="",$M100=""),"",ROUND($L100-$L100/(1+$M100/100),2))</f>
        <v/>
      </c>
      <c r="O100" s="9" t="n"/>
      <c r="P100" s="9" t="n"/>
      <c r="Q100" s="9" t="n"/>
      <c r="R100" s="9" t="n"/>
      <c r="S100" s="9" t="n"/>
    </row>
    <row r="101">
      <c r="A101" s="9" t="n"/>
      <c r="B101" s="9" t="n"/>
      <c r="C101" s="30" t="n"/>
      <c r="D101" s="9">
        <f>IF($C101="","",YEAR($C101)&amp;"-"&amp;TEXT(MONTH($C101),"00"))</f>
        <v/>
      </c>
      <c r="E101" s="9" t="n"/>
      <c r="F101" s="9" t="n"/>
      <c r="G101" s="9" t="n"/>
      <c r="H101" s="24" t="n"/>
      <c r="I101" s="9" t="n"/>
      <c r="J101" s="24" t="n"/>
      <c r="K101" s="24" t="n"/>
      <c r="L101" s="24">
        <f>IF($H101="","",ROUND($H101*$J101-N($K101),2))</f>
        <v/>
      </c>
      <c r="M101" s="31" t="n"/>
      <c r="N101" s="24">
        <f>IF(OR($L101="",$M101=""),"",ROUND($L101-$L101/(1+$M101/100),2))</f>
        <v/>
      </c>
      <c r="O101" s="9" t="n"/>
      <c r="P101" s="9" t="n"/>
      <c r="Q101" s="9" t="n"/>
      <c r="R101" s="9" t="n"/>
      <c r="S101" s="9" t="n"/>
    </row>
    <row r="102">
      <c r="A102" s="9" t="n"/>
      <c r="B102" s="9" t="n"/>
      <c r="C102" s="30" t="n"/>
      <c r="D102" s="9">
        <f>IF($C102="","",YEAR($C102)&amp;"-"&amp;TEXT(MONTH($C102),"00"))</f>
        <v/>
      </c>
      <c r="E102" s="9" t="n"/>
      <c r="F102" s="9" t="n"/>
      <c r="G102" s="9" t="n"/>
      <c r="H102" s="24" t="n"/>
      <c r="I102" s="9" t="n"/>
      <c r="J102" s="24" t="n"/>
      <c r="K102" s="24" t="n"/>
      <c r="L102" s="24">
        <f>IF($H102="","",ROUND($H102*$J102-N($K102),2))</f>
        <v/>
      </c>
      <c r="M102" s="31" t="n"/>
      <c r="N102" s="24">
        <f>IF(OR($L102="",$M102=""),"",ROUND($L102-$L102/(1+$M102/100),2))</f>
        <v/>
      </c>
      <c r="O102" s="9" t="n"/>
      <c r="P102" s="9" t="n"/>
      <c r="Q102" s="9" t="n"/>
      <c r="R102" s="9" t="n"/>
      <c r="S102" s="9" t="n"/>
    </row>
    <row r="103">
      <c r="A103" s="9" t="n"/>
      <c r="B103" s="9" t="n"/>
      <c r="C103" s="30" t="n"/>
      <c r="D103" s="9">
        <f>IF($C103="","",YEAR($C103)&amp;"-"&amp;TEXT(MONTH($C103),"00"))</f>
        <v/>
      </c>
      <c r="E103" s="9" t="n"/>
      <c r="F103" s="9" t="n"/>
      <c r="G103" s="9" t="n"/>
      <c r="H103" s="24" t="n"/>
      <c r="I103" s="9" t="n"/>
      <c r="J103" s="24" t="n"/>
      <c r="K103" s="24" t="n"/>
      <c r="L103" s="24">
        <f>IF($H103="","",ROUND($H103*$J103-N($K103),2))</f>
        <v/>
      </c>
      <c r="M103" s="31" t="n"/>
      <c r="N103" s="24">
        <f>IF(OR($L103="",$M103=""),"",ROUND($L103-$L103/(1+$M103/100),2))</f>
        <v/>
      </c>
      <c r="O103" s="9" t="n"/>
      <c r="P103" s="9" t="n"/>
      <c r="Q103" s="9" t="n"/>
      <c r="R103" s="9" t="n"/>
      <c r="S103" s="9" t="n"/>
    </row>
    <row r="104">
      <c r="A104" s="9" t="n"/>
      <c r="B104" s="9" t="n"/>
      <c r="C104" s="30" t="n"/>
      <c r="D104" s="9">
        <f>IF($C104="","",YEAR($C104)&amp;"-"&amp;TEXT(MONTH($C104),"00"))</f>
        <v/>
      </c>
      <c r="E104" s="9" t="n"/>
      <c r="F104" s="9" t="n"/>
      <c r="G104" s="9" t="n"/>
      <c r="H104" s="24" t="n"/>
      <c r="I104" s="9" t="n"/>
      <c r="J104" s="24" t="n"/>
      <c r="K104" s="24" t="n"/>
      <c r="L104" s="24">
        <f>IF($H104="","",ROUND($H104*$J104-N($K104),2))</f>
        <v/>
      </c>
      <c r="M104" s="31" t="n"/>
      <c r="N104" s="24">
        <f>IF(OR($L104="",$M104=""),"",ROUND($L104-$L104/(1+$M104/100),2))</f>
        <v/>
      </c>
      <c r="O104" s="9" t="n"/>
      <c r="P104" s="9" t="n"/>
      <c r="Q104" s="9" t="n"/>
      <c r="R104" s="9" t="n"/>
      <c r="S104" s="9" t="n"/>
    </row>
    <row r="105">
      <c r="A105" s="9" t="n"/>
      <c r="B105" s="9" t="n"/>
      <c r="C105" s="30" t="n"/>
      <c r="D105" s="9">
        <f>IF($C105="","",YEAR($C105)&amp;"-"&amp;TEXT(MONTH($C105),"00"))</f>
        <v/>
      </c>
      <c r="E105" s="9" t="n"/>
      <c r="F105" s="9" t="n"/>
      <c r="G105" s="9" t="n"/>
      <c r="H105" s="24" t="n"/>
      <c r="I105" s="9" t="n"/>
      <c r="J105" s="24" t="n"/>
      <c r="K105" s="24" t="n"/>
      <c r="L105" s="24">
        <f>IF($H105="","",ROUND($H105*$J105-N($K105),2))</f>
        <v/>
      </c>
      <c r="M105" s="31" t="n"/>
      <c r="N105" s="24">
        <f>IF(OR($L105="",$M105=""),"",ROUND($L105-$L105/(1+$M105/100),2))</f>
        <v/>
      </c>
      <c r="O105" s="9" t="n"/>
      <c r="P105" s="9" t="n"/>
      <c r="Q105" s="9" t="n"/>
      <c r="R105" s="9" t="n"/>
      <c r="S105" s="9" t="n"/>
    </row>
    <row r="106">
      <c r="A106" s="9" t="n"/>
      <c r="B106" s="9" t="n"/>
      <c r="C106" s="30" t="n"/>
      <c r="D106" s="9">
        <f>IF($C106="","",YEAR($C106)&amp;"-"&amp;TEXT(MONTH($C106),"00"))</f>
        <v/>
      </c>
      <c r="E106" s="9" t="n"/>
      <c r="F106" s="9" t="n"/>
      <c r="G106" s="9" t="n"/>
      <c r="H106" s="24" t="n"/>
      <c r="I106" s="9" t="n"/>
      <c r="J106" s="24" t="n"/>
      <c r="K106" s="24" t="n"/>
      <c r="L106" s="24">
        <f>IF($H106="","",ROUND($H106*$J106-N($K106),2))</f>
        <v/>
      </c>
      <c r="M106" s="31" t="n"/>
      <c r="N106" s="24">
        <f>IF(OR($L106="",$M106=""),"",ROUND($L106-$L106/(1+$M106/100),2))</f>
        <v/>
      </c>
      <c r="O106" s="9" t="n"/>
      <c r="P106" s="9" t="n"/>
      <c r="Q106" s="9" t="n"/>
      <c r="R106" s="9" t="n"/>
      <c r="S106" s="9" t="n"/>
    </row>
    <row r="107">
      <c r="A107" s="9" t="n"/>
      <c r="B107" s="9" t="n"/>
      <c r="C107" s="30" t="n"/>
      <c r="D107" s="9">
        <f>IF($C107="","",YEAR($C107)&amp;"-"&amp;TEXT(MONTH($C107),"00"))</f>
        <v/>
      </c>
      <c r="E107" s="9" t="n"/>
      <c r="F107" s="9" t="n"/>
      <c r="G107" s="9" t="n"/>
      <c r="H107" s="24" t="n"/>
      <c r="I107" s="9" t="n"/>
      <c r="J107" s="24" t="n"/>
      <c r="K107" s="24" t="n"/>
      <c r="L107" s="24">
        <f>IF($H107="","",ROUND($H107*$J107-N($K107),2))</f>
        <v/>
      </c>
      <c r="M107" s="31" t="n"/>
      <c r="N107" s="24">
        <f>IF(OR($L107="",$M107=""),"",ROUND($L107-$L107/(1+$M107/100),2))</f>
        <v/>
      </c>
      <c r="O107" s="9" t="n"/>
      <c r="P107" s="9" t="n"/>
      <c r="Q107" s="9" t="n"/>
      <c r="R107" s="9" t="n"/>
      <c r="S107" s="9" t="n"/>
    </row>
    <row r="108">
      <c r="A108" s="9" t="n"/>
      <c r="B108" s="9" t="n"/>
      <c r="C108" s="30" t="n"/>
      <c r="D108" s="9">
        <f>IF($C108="","",YEAR($C108)&amp;"-"&amp;TEXT(MONTH($C108),"00"))</f>
        <v/>
      </c>
      <c r="E108" s="9" t="n"/>
      <c r="F108" s="9" t="n"/>
      <c r="G108" s="9" t="n"/>
      <c r="H108" s="24" t="n"/>
      <c r="I108" s="9" t="n"/>
      <c r="J108" s="24" t="n"/>
      <c r="K108" s="24" t="n"/>
      <c r="L108" s="24">
        <f>IF($H108="","",ROUND($H108*$J108-N($K108),2))</f>
        <v/>
      </c>
      <c r="M108" s="31" t="n"/>
      <c r="N108" s="24">
        <f>IF(OR($L108="",$M108=""),"",ROUND($L108-$L108/(1+$M108/100),2))</f>
        <v/>
      </c>
      <c r="O108" s="9" t="n"/>
      <c r="P108" s="9" t="n"/>
      <c r="Q108" s="9" t="n"/>
      <c r="R108" s="9" t="n"/>
      <c r="S108" s="9" t="n"/>
    </row>
    <row r="109">
      <c r="A109" s="9" t="n"/>
      <c r="B109" s="9" t="n"/>
      <c r="C109" s="30" t="n"/>
      <c r="D109" s="9">
        <f>IF($C109="","",YEAR($C109)&amp;"-"&amp;TEXT(MONTH($C109),"00"))</f>
        <v/>
      </c>
      <c r="E109" s="9" t="n"/>
      <c r="F109" s="9" t="n"/>
      <c r="G109" s="9" t="n"/>
      <c r="H109" s="24" t="n"/>
      <c r="I109" s="9" t="n"/>
      <c r="J109" s="24" t="n"/>
      <c r="K109" s="24" t="n"/>
      <c r="L109" s="24">
        <f>IF($H109="","",ROUND($H109*$J109-N($K109),2))</f>
        <v/>
      </c>
      <c r="M109" s="31" t="n"/>
      <c r="N109" s="24">
        <f>IF(OR($L109="",$M109=""),"",ROUND($L109-$L109/(1+$M109/100),2))</f>
        <v/>
      </c>
      <c r="O109" s="9" t="n"/>
      <c r="P109" s="9" t="n"/>
      <c r="Q109" s="9" t="n"/>
      <c r="R109" s="9" t="n"/>
      <c r="S109" s="9" t="n"/>
    </row>
    <row r="110">
      <c r="A110" s="9" t="n"/>
      <c r="B110" s="9" t="n"/>
      <c r="C110" s="30" t="n"/>
      <c r="D110" s="9">
        <f>IF($C110="","",YEAR($C110)&amp;"-"&amp;TEXT(MONTH($C110),"00"))</f>
        <v/>
      </c>
      <c r="E110" s="9" t="n"/>
      <c r="F110" s="9" t="n"/>
      <c r="G110" s="9" t="n"/>
      <c r="H110" s="24" t="n"/>
      <c r="I110" s="9" t="n"/>
      <c r="J110" s="24" t="n"/>
      <c r="K110" s="24" t="n"/>
      <c r="L110" s="24">
        <f>IF($H110="","",ROUND($H110*$J110-N($K110),2))</f>
        <v/>
      </c>
      <c r="M110" s="31" t="n"/>
      <c r="N110" s="24">
        <f>IF(OR($L110="",$M110=""),"",ROUND($L110-$L110/(1+$M110/100),2))</f>
        <v/>
      </c>
      <c r="O110" s="9" t="n"/>
      <c r="P110" s="9" t="n"/>
      <c r="Q110" s="9" t="n"/>
      <c r="R110" s="9" t="n"/>
      <c r="S110" s="9" t="n"/>
    </row>
    <row r="111">
      <c r="A111" s="9" t="n"/>
      <c r="B111" s="9" t="n"/>
      <c r="C111" s="30" t="n"/>
      <c r="D111" s="9">
        <f>IF($C111="","",YEAR($C111)&amp;"-"&amp;TEXT(MONTH($C111),"00"))</f>
        <v/>
      </c>
      <c r="E111" s="9" t="n"/>
      <c r="F111" s="9" t="n"/>
      <c r="G111" s="9" t="n"/>
      <c r="H111" s="24" t="n"/>
      <c r="I111" s="9" t="n"/>
      <c r="J111" s="24" t="n"/>
      <c r="K111" s="24" t="n"/>
      <c r="L111" s="24">
        <f>IF($H111="","",ROUND($H111*$J111-N($K111),2))</f>
        <v/>
      </c>
      <c r="M111" s="31" t="n"/>
      <c r="N111" s="24">
        <f>IF(OR($L111="",$M111=""),"",ROUND($L111-$L111/(1+$M111/100),2))</f>
        <v/>
      </c>
      <c r="O111" s="9" t="n"/>
      <c r="P111" s="9" t="n"/>
      <c r="Q111" s="9" t="n"/>
      <c r="R111" s="9" t="n"/>
      <c r="S111" s="9" t="n"/>
    </row>
    <row r="112">
      <c r="A112" s="9" t="n"/>
      <c r="B112" s="9" t="n"/>
      <c r="C112" s="30" t="n"/>
      <c r="D112" s="9">
        <f>IF($C112="","",YEAR($C112)&amp;"-"&amp;TEXT(MONTH($C112),"00"))</f>
        <v/>
      </c>
      <c r="E112" s="9" t="n"/>
      <c r="F112" s="9" t="n"/>
      <c r="G112" s="9" t="n"/>
      <c r="H112" s="24" t="n"/>
      <c r="I112" s="9" t="n"/>
      <c r="J112" s="24" t="n"/>
      <c r="K112" s="24" t="n"/>
      <c r="L112" s="24">
        <f>IF($H112="","",ROUND($H112*$J112-N($K112),2))</f>
        <v/>
      </c>
      <c r="M112" s="31" t="n"/>
      <c r="N112" s="24">
        <f>IF(OR($L112="",$M112=""),"",ROUND($L112-$L112/(1+$M112/100),2))</f>
        <v/>
      </c>
      <c r="O112" s="9" t="n"/>
      <c r="P112" s="9" t="n"/>
      <c r="Q112" s="9" t="n"/>
      <c r="R112" s="9" t="n"/>
      <c r="S112" s="9" t="n"/>
    </row>
    <row r="113">
      <c r="A113" s="9" t="n"/>
      <c r="B113" s="9" t="n"/>
      <c r="C113" s="30" t="n"/>
      <c r="D113" s="9">
        <f>IF($C113="","",YEAR($C113)&amp;"-"&amp;TEXT(MONTH($C113),"00"))</f>
        <v/>
      </c>
      <c r="E113" s="9" t="n"/>
      <c r="F113" s="9" t="n"/>
      <c r="G113" s="9" t="n"/>
      <c r="H113" s="24" t="n"/>
      <c r="I113" s="9" t="n"/>
      <c r="J113" s="24" t="n"/>
      <c r="K113" s="24" t="n"/>
      <c r="L113" s="24">
        <f>IF($H113="","",ROUND($H113*$J113-N($K113),2))</f>
        <v/>
      </c>
      <c r="M113" s="31" t="n"/>
      <c r="N113" s="24">
        <f>IF(OR($L113="",$M113=""),"",ROUND($L113-$L113/(1+$M113/100),2))</f>
        <v/>
      </c>
      <c r="O113" s="9" t="n"/>
      <c r="P113" s="9" t="n"/>
      <c r="Q113" s="9" t="n"/>
      <c r="R113" s="9" t="n"/>
      <c r="S113" s="9" t="n"/>
    </row>
    <row r="114">
      <c r="A114" s="9" t="n"/>
      <c r="B114" s="9" t="n"/>
      <c r="C114" s="30" t="n"/>
      <c r="D114" s="9">
        <f>IF($C114="","",YEAR($C114)&amp;"-"&amp;TEXT(MONTH($C114),"00"))</f>
        <v/>
      </c>
      <c r="E114" s="9" t="n"/>
      <c r="F114" s="9" t="n"/>
      <c r="G114" s="9" t="n"/>
      <c r="H114" s="24" t="n"/>
      <c r="I114" s="9" t="n"/>
      <c r="J114" s="24" t="n"/>
      <c r="K114" s="24" t="n"/>
      <c r="L114" s="24">
        <f>IF($H114="","",ROUND($H114*$J114-N($K114),2))</f>
        <v/>
      </c>
      <c r="M114" s="31" t="n"/>
      <c r="N114" s="24">
        <f>IF(OR($L114="",$M114=""),"",ROUND($L114-$L114/(1+$M114/100),2))</f>
        <v/>
      </c>
      <c r="O114" s="9" t="n"/>
      <c r="P114" s="9" t="n"/>
      <c r="Q114" s="9" t="n"/>
      <c r="R114" s="9" t="n"/>
      <c r="S114" s="9" t="n"/>
    </row>
    <row r="115">
      <c r="A115" s="9" t="n"/>
      <c r="B115" s="9" t="n"/>
      <c r="C115" s="30" t="n"/>
      <c r="D115" s="9">
        <f>IF($C115="","",YEAR($C115)&amp;"-"&amp;TEXT(MONTH($C115),"00"))</f>
        <v/>
      </c>
      <c r="E115" s="9" t="n"/>
      <c r="F115" s="9" t="n"/>
      <c r="G115" s="9" t="n"/>
      <c r="H115" s="24" t="n"/>
      <c r="I115" s="9" t="n"/>
      <c r="J115" s="24" t="n"/>
      <c r="K115" s="24" t="n"/>
      <c r="L115" s="24">
        <f>IF($H115="","",ROUND($H115*$J115-N($K115),2))</f>
        <v/>
      </c>
      <c r="M115" s="31" t="n"/>
      <c r="N115" s="24">
        <f>IF(OR($L115="",$M115=""),"",ROUND($L115-$L115/(1+$M115/100),2))</f>
        <v/>
      </c>
      <c r="O115" s="9" t="n"/>
      <c r="P115" s="9" t="n"/>
      <c r="Q115" s="9" t="n"/>
      <c r="R115" s="9" t="n"/>
      <c r="S115" s="9" t="n"/>
    </row>
    <row r="116">
      <c r="A116" s="9" t="n"/>
      <c r="B116" s="9" t="n"/>
      <c r="C116" s="30" t="n"/>
      <c r="D116" s="9">
        <f>IF($C116="","",YEAR($C116)&amp;"-"&amp;TEXT(MONTH($C116),"00"))</f>
        <v/>
      </c>
      <c r="E116" s="9" t="n"/>
      <c r="F116" s="9" t="n"/>
      <c r="G116" s="9" t="n"/>
      <c r="H116" s="24" t="n"/>
      <c r="I116" s="9" t="n"/>
      <c r="J116" s="24" t="n"/>
      <c r="K116" s="24" t="n"/>
      <c r="L116" s="24">
        <f>IF($H116="","",ROUND($H116*$J116-N($K116),2))</f>
        <v/>
      </c>
      <c r="M116" s="31" t="n"/>
      <c r="N116" s="24">
        <f>IF(OR($L116="",$M116=""),"",ROUND($L116-$L116/(1+$M116/100),2))</f>
        <v/>
      </c>
      <c r="O116" s="9" t="n"/>
      <c r="P116" s="9" t="n"/>
      <c r="Q116" s="9" t="n"/>
      <c r="R116" s="9" t="n"/>
      <c r="S116" s="9" t="n"/>
    </row>
    <row r="117">
      <c r="A117" s="9" t="n"/>
      <c r="B117" s="9" t="n"/>
      <c r="C117" s="30" t="n"/>
      <c r="D117" s="9">
        <f>IF($C117="","",YEAR($C117)&amp;"-"&amp;TEXT(MONTH($C117),"00"))</f>
        <v/>
      </c>
      <c r="E117" s="9" t="n"/>
      <c r="F117" s="9" t="n"/>
      <c r="G117" s="9" t="n"/>
      <c r="H117" s="24" t="n"/>
      <c r="I117" s="9" t="n"/>
      <c r="J117" s="24" t="n"/>
      <c r="K117" s="24" t="n"/>
      <c r="L117" s="24">
        <f>IF($H117="","",ROUND($H117*$J117-N($K117),2))</f>
        <v/>
      </c>
      <c r="M117" s="31" t="n"/>
      <c r="N117" s="24">
        <f>IF(OR($L117="",$M117=""),"",ROUND($L117-$L117/(1+$M117/100),2))</f>
        <v/>
      </c>
      <c r="O117" s="9" t="n"/>
      <c r="P117" s="9" t="n"/>
      <c r="Q117" s="9" t="n"/>
      <c r="R117" s="9" t="n"/>
      <c r="S117" s="9" t="n"/>
    </row>
    <row r="118">
      <c r="A118" s="9" t="n"/>
      <c r="B118" s="9" t="n"/>
      <c r="C118" s="30" t="n"/>
      <c r="D118" s="9">
        <f>IF($C118="","",YEAR($C118)&amp;"-"&amp;TEXT(MONTH($C118),"00"))</f>
        <v/>
      </c>
      <c r="E118" s="9" t="n"/>
      <c r="F118" s="9" t="n"/>
      <c r="G118" s="9" t="n"/>
      <c r="H118" s="24" t="n"/>
      <c r="I118" s="9" t="n"/>
      <c r="J118" s="24" t="n"/>
      <c r="K118" s="24" t="n"/>
      <c r="L118" s="24">
        <f>IF($H118="","",ROUND($H118*$J118-N($K118),2))</f>
        <v/>
      </c>
      <c r="M118" s="31" t="n"/>
      <c r="N118" s="24">
        <f>IF(OR($L118="",$M118=""),"",ROUND($L118-$L118/(1+$M118/100),2))</f>
        <v/>
      </c>
      <c r="O118" s="9" t="n"/>
      <c r="P118" s="9" t="n"/>
      <c r="Q118" s="9" t="n"/>
      <c r="R118" s="9" t="n"/>
      <c r="S118" s="9" t="n"/>
    </row>
    <row r="119">
      <c r="A119" s="9" t="n"/>
      <c r="B119" s="9" t="n"/>
      <c r="C119" s="30" t="n"/>
      <c r="D119" s="9">
        <f>IF($C119="","",YEAR($C119)&amp;"-"&amp;TEXT(MONTH($C119),"00"))</f>
        <v/>
      </c>
      <c r="E119" s="9" t="n"/>
      <c r="F119" s="9" t="n"/>
      <c r="G119" s="9" t="n"/>
      <c r="H119" s="24" t="n"/>
      <c r="I119" s="9" t="n"/>
      <c r="J119" s="24" t="n"/>
      <c r="K119" s="24" t="n"/>
      <c r="L119" s="24">
        <f>IF($H119="","",ROUND($H119*$J119-N($K119),2))</f>
        <v/>
      </c>
      <c r="M119" s="31" t="n"/>
      <c r="N119" s="24">
        <f>IF(OR($L119="",$M119=""),"",ROUND($L119-$L119/(1+$M119/100),2))</f>
        <v/>
      </c>
      <c r="O119" s="9" t="n"/>
      <c r="P119" s="9" t="n"/>
      <c r="Q119" s="9" t="n"/>
      <c r="R119" s="9" t="n"/>
      <c r="S119" s="9" t="n"/>
    </row>
    <row r="120">
      <c r="A120" s="9" t="n"/>
      <c r="B120" s="9" t="n"/>
      <c r="C120" s="30" t="n"/>
      <c r="D120" s="9">
        <f>IF($C120="","",YEAR($C120)&amp;"-"&amp;TEXT(MONTH($C120),"00"))</f>
        <v/>
      </c>
      <c r="E120" s="9" t="n"/>
      <c r="F120" s="9" t="n"/>
      <c r="G120" s="9" t="n"/>
      <c r="H120" s="24" t="n"/>
      <c r="I120" s="9" t="n"/>
      <c r="J120" s="24" t="n"/>
      <c r="K120" s="24" t="n"/>
      <c r="L120" s="24">
        <f>IF($H120="","",ROUND($H120*$J120-N($K120),2))</f>
        <v/>
      </c>
      <c r="M120" s="31" t="n"/>
      <c r="N120" s="24">
        <f>IF(OR($L120="",$M120=""),"",ROUND($L120-$L120/(1+$M120/100),2))</f>
        <v/>
      </c>
      <c r="O120" s="9" t="n"/>
      <c r="P120" s="9" t="n"/>
      <c r="Q120" s="9" t="n"/>
      <c r="R120" s="9" t="n"/>
      <c r="S120" s="9" t="n"/>
    </row>
    <row r="121">
      <c r="A121" s="9" t="n"/>
      <c r="B121" s="9" t="n"/>
      <c r="C121" s="30" t="n"/>
      <c r="D121" s="9">
        <f>IF($C121="","",YEAR($C121)&amp;"-"&amp;TEXT(MONTH($C121),"00"))</f>
        <v/>
      </c>
      <c r="E121" s="9" t="n"/>
      <c r="F121" s="9" t="n"/>
      <c r="G121" s="9" t="n"/>
      <c r="H121" s="24" t="n"/>
      <c r="I121" s="9" t="n"/>
      <c r="J121" s="24" t="n"/>
      <c r="K121" s="24" t="n"/>
      <c r="L121" s="24">
        <f>IF($H121="","",ROUND($H121*$J121-N($K121),2))</f>
        <v/>
      </c>
      <c r="M121" s="31" t="n"/>
      <c r="N121" s="24">
        <f>IF(OR($L121="",$M121=""),"",ROUND($L121-$L121/(1+$M121/100),2))</f>
        <v/>
      </c>
      <c r="O121" s="9" t="n"/>
      <c r="P121" s="9" t="n"/>
      <c r="Q121" s="9" t="n"/>
      <c r="R121" s="9" t="n"/>
      <c r="S121" s="9" t="n"/>
    </row>
    <row r="122">
      <c r="A122" s="9" t="n"/>
      <c r="B122" s="9" t="n"/>
      <c r="C122" s="30" t="n"/>
      <c r="D122" s="9">
        <f>IF($C122="","",YEAR($C122)&amp;"-"&amp;TEXT(MONTH($C122),"00"))</f>
        <v/>
      </c>
      <c r="E122" s="9" t="n"/>
      <c r="F122" s="9" t="n"/>
      <c r="G122" s="9" t="n"/>
      <c r="H122" s="24" t="n"/>
      <c r="I122" s="9" t="n"/>
      <c r="J122" s="24" t="n"/>
      <c r="K122" s="24" t="n"/>
      <c r="L122" s="24">
        <f>IF($H122="","",ROUND($H122*$J122-N($K122),2))</f>
        <v/>
      </c>
      <c r="M122" s="31" t="n"/>
      <c r="N122" s="24">
        <f>IF(OR($L122="",$M122=""),"",ROUND($L122-$L122/(1+$M122/100),2))</f>
        <v/>
      </c>
      <c r="O122" s="9" t="n"/>
      <c r="P122" s="9" t="n"/>
      <c r="Q122" s="9" t="n"/>
      <c r="R122" s="9" t="n"/>
      <c r="S122" s="9" t="n"/>
    </row>
    <row r="123">
      <c r="A123" s="9" t="n"/>
      <c r="B123" s="9" t="n"/>
      <c r="C123" s="30" t="n"/>
      <c r="D123" s="9">
        <f>IF($C123="","",YEAR($C123)&amp;"-"&amp;TEXT(MONTH($C123),"00"))</f>
        <v/>
      </c>
      <c r="E123" s="9" t="n"/>
      <c r="F123" s="9" t="n"/>
      <c r="G123" s="9" t="n"/>
      <c r="H123" s="24" t="n"/>
      <c r="I123" s="9" t="n"/>
      <c r="J123" s="24" t="n"/>
      <c r="K123" s="24" t="n"/>
      <c r="L123" s="24">
        <f>IF($H123="","",ROUND($H123*$J123-N($K123),2))</f>
        <v/>
      </c>
      <c r="M123" s="31" t="n"/>
      <c r="N123" s="24">
        <f>IF(OR($L123="",$M123=""),"",ROUND($L123-$L123/(1+$M123/100),2))</f>
        <v/>
      </c>
      <c r="O123" s="9" t="n"/>
      <c r="P123" s="9" t="n"/>
      <c r="Q123" s="9" t="n"/>
      <c r="R123" s="9" t="n"/>
      <c r="S123" s="9" t="n"/>
    </row>
    <row r="124">
      <c r="A124" s="9" t="n"/>
      <c r="B124" s="9" t="n"/>
      <c r="C124" s="30" t="n"/>
      <c r="D124" s="9">
        <f>IF($C124="","",YEAR($C124)&amp;"-"&amp;TEXT(MONTH($C124),"00"))</f>
        <v/>
      </c>
      <c r="E124" s="9" t="n"/>
      <c r="F124" s="9" t="n"/>
      <c r="G124" s="9" t="n"/>
      <c r="H124" s="24" t="n"/>
      <c r="I124" s="9" t="n"/>
      <c r="J124" s="24" t="n"/>
      <c r="K124" s="24" t="n"/>
      <c r="L124" s="24">
        <f>IF($H124="","",ROUND($H124*$J124-N($K124),2))</f>
        <v/>
      </c>
      <c r="M124" s="31" t="n"/>
      <c r="N124" s="24">
        <f>IF(OR($L124="",$M124=""),"",ROUND($L124-$L124/(1+$M124/100),2))</f>
        <v/>
      </c>
      <c r="O124" s="9" t="n"/>
      <c r="P124" s="9" t="n"/>
      <c r="Q124" s="9" t="n"/>
      <c r="R124" s="9" t="n"/>
      <c r="S124" s="9" t="n"/>
    </row>
    <row r="125">
      <c r="A125" s="9" t="n"/>
      <c r="B125" s="9" t="n"/>
      <c r="C125" s="30" t="n"/>
      <c r="D125" s="9">
        <f>IF($C125="","",YEAR($C125)&amp;"-"&amp;TEXT(MONTH($C125),"00"))</f>
        <v/>
      </c>
      <c r="E125" s="9" t="n"/>
      <c r="F125" s="9" t="n"/>
      <c r="G125" s="9" t="n"/>
      <c r="H125" s="24" t="n"/>
      <c r="I125" s="9" t="n"/>
      <c r="J125" s="24" t="n"/>
      <c r="K125" s="24" t="n"/>
      <c r="L125" s="24">
        <f>IF($H125="","",ROUND($H125*$J125-N($K125),2))</f>
        <v/>
      </c>
      <c r="M125" s="31" t="n"/>
      <c r="N125" s="24">
        <f>IF(OR($L125="",$M125=""),"",ROUND($L125-$L125/(1+$M125/100),2))</f>
        <v/>
      </c>
      <c r="O125" s="9" t="n"/>
      <c r="P125" s="9" t="n"/>
      <c r="Q125" s="9" t="n"/>
      <c r="R125" s="9" t="n"/>
      <c r="S125" s="9" t="n"/>
    </row>
    <row r="126">
      <c r="A126" s="9" t="n"/>
      <c r="B126" s="9" t="n"/>
      <c r="C126" s="30" t="n"/>
      <c r="D126" s="9">
        <f>IF($C126="","",YEAR($C126)&amp;"-"&amp;TEXT(MONTH($C126),"00"))</f>
        <v/>
      </c>
      <c r="E126" s="9" t="n"/>
      <c r="F126" s="9" t="n"/>
      <c r="G126" s="9" t="n"/>
      <c r="H126" s="24" t="n"/>
      <c r="I126" s="9" t="n"/>
      <c r="J126" s="24" t="n"/>
      <c r="K126" s="24" t="n"/>
      <c r="L126" s="24">
        <f>IF($H126="","",ROUND($H126*$J126-N($K126),2))</f>
        <v/>
      </c>
      <c r="M126" s="31" t="n"/>
      <c r="N126" s="24">
        <f>IF(OR($L126="",$M126=""),"",ROUND($L126-$L126/(1+$M126/100),2))</f>
        <v/>
      </c>
      <c r="O126" s="9" t="n"/>
      <c r="P126" s="9" t="n"/>
      <c r="Q126" s="9" t="n"/>
      <c r="R126" s="9" t="n"/>
      <c r="S126" s="9" t="n"/>
    </row>
    <row r="127">
      <c r="A127" s="9" t="n"/>
      <c r="B127" s="9" t="n"/>
      <c r="C127" s="30" t="n"/>
      <c r="D127" s="9">
        <f>IF($C127="","",YEAR($C127)&amp;"-"&amp;TEXT(MONTH($C127),"00"))</f>
        <v/>
      </c>
      <c r="E127" s="9" t="n"/>
      <c r="F127" s="9" t="n"/>
      <c r="G127" s="9" t="n"/>
      <c r="H127" s="24" t="n"/>
      <c r="I127" s="9" t="n"/>
      <c r="J127" s="24" t="n"/>
      <c r="K127" s="24" t="n"/>
      <c r="L127" s="24">
        <f>IF($H127="","",ROUND($H127*$J127-N($K127),2))</f>
        <v/>
      </c>
      <c r="M127" s="31" t="n"/>
      <c r="N127" s="24">
        <f>IF(OR($L127="",$M127=""),"",ROUND($L127-$L127/(1+$M127/100),2))</f>
        <v/>
      </c>
      <c r="O127" s="9" t="n"/>
      <c r="P127" s="9" t="n"/>
      <c r="Q127" s="9" t="n"/>
      <c r="R127" s="9" t="n"/>
      <c r="S127" s="9" t="n"/>
    </row>
    <row r="128">
      <c r="A128" s="9" t="n"/>
      <c r="B128" s="9" t="n"/>
      <c r="C128" s="30" t="n"/>
      <c r="D128" s="9">
        <f>IF($C128="","",YEAR($C128)&amp;"-"&amp;TEXT(MONTH($C128),"00"))</f>
        <v/>
      </c>
      <c r="E128" s="9" t="n"/>
      <c r="F128" s="9" t="n"/>
      <c r="G128" s="9" t="n"/>
      <c r="H128" s="24" t="n"/>
      <c r="I128" s="9" t="n"/>
      <c r="J128" s="24" t="n"/>
      <c r="K128" s="24" t="n"/>
      <c r="L128" s="24">
        <f>IF($H128="","",ROUND($H128*$J128-N($K128),2))</f>
        <v/>
      </c>
      <c r="M128" s="31" t="n"/>
      <c r="N128" s="24">
        <f>IF(OR($L128="",$M128=""),"",ROUND($L128-$L128/(1+$M128/100),2))</f>
        <v/>
      </c>
      <c r="O128" s="9" t="n"/>
      <c r="P128" s="9" t="n"/>
      <c r="Q128" s="9" t="n"/>
      <c r="R128" s="9" t="n"/>
      <c r="S128" s="9" t="n"/>
    </row>
    <row r="129">
      <c r="A129" s="9" t="n"/>
      <c r="B129" s="9" t="n"/>
      <c r="C129" s="30" t="n"/>
      <c r="D129" s="9">
        <f>IF($C129="","",YEAR($C129)&amp;"-"&amp;TEXT(MONTH($C129),"00"))</f>
        <v/>
      </c>
      <c r="E129" s="9" t="n"/>
      <c r="F129" s="9" t="n"/>
      <c r="G129" s="9" t="n"/>
      <c r="H129" s="24" t="n"/>
      <c r="I129" s="9" t="n"/>
      <c r="J129" s="24" t="n"/>
      <c r="K129" s="24" t="n"/>
      <c r="L129" s="24">
        <f>IF($H129="","",ROUND($H129*$J129-N($K129),2))</f>
        <v/>
      </c>
      <c r="M129" s="31" t="n"/>
      <c r="N129" s="24">
        <f>IF(OR($L129="",$M129=""),"",ROUND($L129-$L129/(1+$M129/100),2))</f>
        <v/>
      </c>
      <c r="O129" s="9" t="n"/>
      <c r="P129" s="9" t="n"/>
      <c r="Q129" s="9" t="n"/>
      <c r="R129" s="9" t="n"/>
      <c r="S129" s="9" t="n"/>
    </row>
    <row r="130">
      <c r="A130" s="9" t="n"/>
      <c r="B130" s="9" t="n"/>
      <c r="C130" s="30" t="n"/>
      <c r="D130" s="9">
        <f>IF($C130="","",YEAR($C130)&amp;"-"&amp;TEXT(MONTH($C130),"00"))</f>
        <v/>
      </c>
      <c r="E130" s="9" t="n"/>
      <c r="F130" s="9" t="n"/>
      <c r="G130" s="9" t="n"/>
      <c r="H130" s="24" t="n"/>
      <c r="I130" s="9" t="n"/>
      <c r="J130" s="24" t="n"/>
      <c r="K130" s="24" t="n"/>
      <c r="L130" s="24">
        <f>IF($H130="","",ROUND($H130*$J130-N($K130),2))</f>
        <v/>
      </c>
      <c r="M130" s="31" t="n"/>
      <c r="N130" s="24">
        <f>IF(OR($L130="",$M130=""),"",ROUND($L130-$L130/(1+$M130/100),2))</f>
        <v/>
      </c>
      <c r="O130" s="9" t="n"/>
      <c r="P130" s="9" t="n"/>
      <c r="Q130" s="9" t="n"/>
      <c r="R130" s="9" t="n"/>
      <c r="S130" s="9" t="n"/>
    </row>
    <row r="131">
      <c r="A131" s="9" t="n"/>
      <c r="B131" s="9" t="n"/>
      <c r="C131" s="30" t="n"/>
      <c r="D131" s="9">
        <f>IF($C131="","",YEAR($C131)&amp;"-"&amp;TEXT(MONTH($C131),"00"))</f>
        <v/>
      </c>
      <c r="E131" s="9" t="n"/>
      <c r="F131" s="9" t="n"/>
      <c r="G131" s="9" t="n"/>
      <c r="H131" s="24" t="n"/>
      <c r="I131" s="9" t="n"/>
      <c r="J131" s="24" t="n"/>
      <c r="K131" s="24" t="n"/>
      <c r="L131" s="24">
        <f>IF($H131="","",ROUND($H131*$J131-N($K131),2))</f>
        <v/>
      </c>
      <c r="M131" s="31" t="n"/>
      <c r="N131" s="24">
        <f>IF(OR($L131="",$M131=""),"",ROUND($L131-$L131/(1+$M131/100),2))</f>
        <v/>
      </c>
      <c r="O131" s="9" t="n"/>
      <c r="P131" s="9" t="n"/>
      <c r="Q131" s="9" t="n"/>
      <c r="R131" s="9" t="n"/>
      <c r="S131" s="9" t="n"/>
    </row>
    <row r="132">
      <c r="A132" s="9" t="n"/>
      <c r="B132" s="9" t="n"/>
      <c r="C132" s="30" t="n"/>
      <c r="D132" s="9">
        <f>IF($C132="","",YEAR($C132)&amp;"-"&amp;TEXT(MONTH($C132),"00"))</f>
        <v/>
      </c>
      <c r="E132" s="9" t="n"/>
      <c r="F132" s="9" t="n"/>
      <c r="G132" s="9" t="n"/>
      <c r="H132" s="24" t="n"/>
      <c r="I132" s="9" t="n"/>
      <c r="J132" s="24" t="n"/>
      <c r="K132" s="24" t="n"/>
      <c r="L132" s="24">
        <f>IF($H132="","",ROUND($H132*$J132-N($K132),2))</f>
        <v/>
      </c>
      <c r="M132" s="31" t="n"/>
      <c r="N132" s="24">
        <f>IF(OR($L132="",$M132=""),"",ROUND($L132-$L132/(1+$M132/100),2))</f>
        <v/>
      </c>
      <c r="O132" s="9" t="n"/>
      <c r="P132" s="9" t="n"/>
      <c r="Q132" s="9" t="n"/>
      <c r="R132" s="9" t="n"/>
      <c r="S132" s="9" t="n"/>
    </row>
    <row r="133">
      <c r="A133" s="9" t="n"/>
      <c r="B133" s="9" t="n"/>
      <c r="C133" s="30" t="n"/>
      <c r="D133" s="9">
        <f>IF($C133="","",YEAR($C133)&amp;"-"&amp;TEXT(MONTH($C133),"00"))</f>
        <v/>
      </c>
      <c r="E133" s="9" t="n"/>
      <c r="F133" s="9" t="n"/>
      <c r="G133" s="9" t="n"/>
      <c r="H133" s="24" t="n"/>
      <c r="I133" s="9" t="n"/>
      <c r="J133" s="24" t="n"/>
      <c r="K133" s="24" t="n"/>
      <c r="L133" s="24">
        <f>IF($H133="","",ROUND($H133*$J133-N($K133),2))</f>
        <v/>
      </c>
      <c r="M133" s="31" t="n"/>
      <c r="N133" s="24">
        <f>IF(OR($L133="",$M133=""),"",ROUND($L133-$L133/(1+$M133/100),2))</f>
        <v/>
      </c>
      <c r="O133" s="9" t="n"/>
      <c r="P133" s="9" t="n"/>
      <c r="Q133" s="9" t="n"/>
      <c r="R133" s="9" t="n"/>
      <c r="S133" s="9" t="n"/>
    </row>
    <row r="134">
      <c r="A134" s="9" t="n"/>
      <c r="B134" s="9" t="n"/>
      <c r="C134" s="30" t="n"/>
      <c r="D134" s="9">
        <f>IF($C134="","",YEAR($C134)&amp;"-"&amp;TEXT(MONTH($C134),"00"))</f>
        <v/>
      </c>
      <c r="E134" s="9" t="n"/>
      <c r="F134" s="9" t="n"/>
      <c r="G134" s="9" t="n"/>
      <c r="H134" s="24" t="n"/>
      <c r="I134" s="9" t="n"/>
      <c r="J134" s="24" t="n"/>
      <c r="K134" s="24" t="n"/>
      <c r="L134" s="24">
        <f>IF($H134="","",ROUND($H134*$J134-N($K134),2))</f>
        <v/>
      </c>
      <c r="M134" s="31" t="n"/>
      <c r="N134" s="24">
        <f>IF(OR($L134="",$M134=""),"",ROUND($L134-$L134/(1+$M134/100),2))</f>
        <v/>
      </c>
      <c r="O134" s="9" t="n"/>
      <c r="P134" s="9" t="n"/>
      <c r="Q134" s="9" t="n"/>
      <c r="R134" s="9" t="n"/>
      <c r="S134" s="9" t="n"/>
    </row>
    <row r="135">
      <c r="A135" s="9" t="n"/>
      <c r="B135" s="9" t="n"/>
      <c r="C135" s="30" t="n"/>
      <c r="D135" s="9">
        <f>IF($C135="","",YEAR($C135)&amp;"-"&amp;TEXT(MONTH($C135),"00"))</f>
        <v/>
      </c>
      <c r="E135" s="9" t="n"/>
      <c r="F135" s="9" t="n"/>
      <c r="G135" s="9" t="n"/>
      <c r="H135" s="24" t="n"/>
      <c r="I135" s="9" t="n"/>
      <c r="J135" s="24" t="n"/>
      <c r="K135" s="24" t="n"/>
      <c r="L135" s="24">
        <f>IF($H135="","",ROUND($H135*$J135-N($K135),2))</f>
        <v/>
      </c>
      <c r="M135" s="31" t="n"/>
      <c r="N135" s="24">
        <f>IF(OR($L135="",$M135=""),"",ROUND($L135-$L135/(1+$M135/100),2))</f>
        <v/>
      </c>
      <c r="O135" s="9" t="n"/>
      <c r="P135" s="9" t="n"/>
      <c r="Q135" s="9" t="n"/>
      <c r="R135" s="9" t="n"/>
      <c r="S135" s="9" t="n"/>
    </row>
    <row r="136">
      <c r="A136" s="9" t="n"/>
      <c r="B136" s="9" t="n"/>
      <c r="C136" s="30" t="n"/>
      <c r="D136" s="9">
        <f>IF($C136="","",YEAR($C136)&amp;"-"&amp;TEXT(MONTH($C136),"00"))</f>
        <v/>
      </c>
      <c r="E136" s="9" t="n"/>
      <c r="F136" s="9" t="n"/>
      <c r="G136" s="9" t="n"/>
      <c r="H136" s="24" t="n"/>
      <c r="I136" s="9" t="n"/>
      <c r="J136" s="24" t="n"/>
      <c r="K136" s="24" t="n"/>
      <c r="L136" s="24">
        <f>IF($H136="","",ROUND($H136*$J136-N($K136),2))</f>
        <v/>
      </c>
      <c r="M136" s="31" t="n"/>
      <c r="N136" s="24">
        <f>IF(OR($L136="",$M136=""),"",ROUND($L136-$L136/(1+$M136/100),2))</f>
        <v/>
      </c>
      <c r="O136" s="9" t="n"/>
      <c r="P136" s="9" t="n"/>
      <c r="Q136" s="9" t="n"/>
      <c r="R136" s="9" t="n"/>
      <c r="S136" s="9" t="n"/>
    </row>
    <row r="137">
      <c r="A137" s="9" t="n"/>
      <c r="B137" s="9" t="n"/>
      <c r="C137" s="30" t="n"/>
      <c r="D137" s="9">
        <f>IF($C137="","",YEAR($C137)&amp;"-"&amp;TEXT(MONTH($C137),"00"))</f>
        <v/>
      </c>
      <c r="E137" s="9" t="n"/>
      <c r="F137" s="9" t="n"/>
      <c r="G137" s="9" t="n"/>
      <c r="H137" s="24" t="n"/>
      <c r="I137" s="9" t="n"/>
      <c r="J137" s="24" t="n"/>
      <c r="K137" s="24" t="n"/>
      <c r="L137" s="24">
        <f>IF($H137="","",ROUND($H137*$J137-N($K137),2))</f>
        <v/>
      </c>
      <c r="M137" s="31" t="n"/>
      <c r="N137" s="24">
        <f>IF(OR($L137="",$M137=""),"",ROUND($L137-$L137/(1+$M137/100),2))</f>
        <v/>
      </c>
      <c r="O137" s="9" t="n"/>
      <c r="P137" s="9" t="n"/>
      <c r="Q137" s="9" t="n"/>
      <c r="R137" s="9" t="n"/>
      <c r="S137" s="9" t="n"/>
    </row>
    <row r="138">
      <c r="A138" s="9" t="n"/>
      <c r="B138" s="9" t="n"/>
      <c r="C138" s="30" t="n"/>
      <c r="D138" s="9">
        <f>IF($C138="","",YEAR($C138)&amp;"-"&amp;TEXT(MONTH($C138),"00"))</f>
        <v/>
      </c>
      <c r="E138" s="9" t="n"/>
      <c r="F138" s="9" t="n"/>
      <c r="G138" s="9" t="n"/>
      <c r="H138" s="24" t="n"/>
      <c r="I138" s="9" t="n"/>
      <c r="J138" s="24" t="n"/>
      <c r="K138" s="24" t="n"/>
      <c r="L138" s="24">
        <f>IF($H138="","",ROUND($H138*$J138-N($K138),2))</f>
        <v/>
      </c>
      <c r="M138" s="31" t="n"/>
      <c r="N138" s="24">
        <f>IF(OR($L138="",$M138=""),"",ROUND($L138-$L138/(1+$M138/100),2))</f>
        <v/>
      </c>
      <c r="O138" s="9" t="n"/>
      <c r="P138" s="9" t="n"/>
      <c r="Q138" s="9" t="n"/>
      <c r="R138" s="9" t="n"/>
      <c r="S138" s="9" t="n"/>
    </row>
    <row r="139">
      <c r="A139" s="9" t="n"/>
      <c r="B139" s="9" t="n"/>
      <c r="C139" s="30" t="n"/>
      <c r="D139" s="9">
        <f>IF($C139="","",YEAR($C139)&amp;"-"&amp;TEXT(MONTH($C139),"00"))</f>
        <v/>
      </c>
      <c r="E139" s="9" t="n"/>
      <c r="F139" s="9" t="n"/>
      <c r="G139" s="9" t="n"/>
      <c r="H139" s="24" t="n"/>
      <c r="I139" s="9" t="n"/>
      <c r="J139" s="24" t="n"/>
      <c r="K139" s="24" t="n"/>
      <c r="L139" s="24">
        <f>IF($H139="","",ROUND($H139*$J139-N($K139),2))</f>
        <v/>
      </c>
      <c r="M139" s="31" t="n"/>
      <c r="N139" s="24">
        <f>IF(OR($L139="",$M139=""),"",ROUND($L139-$L139/(1+$M139/100),2))</f>
        <v/>
      </c>
      <c r="O139" s="9" t="n"/>
      <c r="P139" s="9" t="n"/>
      <c r="Q139" s="9" t="n"/>
      <c r="R139" s="9" t="n"/>
      <c r="S139" s="9" t="n"/>
    </row>
    <row r="140">
      <c r="A140" s="9" t="n"/>
      <c r="B140" s="9" t="n"/>
      <c r="C140" s="30" t="n"/>
      <c r="D140" s="9">
        <f>IF($C140="","",YEAR($C140)&amp;"-"&amp;TEXT(MONTH($C140),"00"))</f>
        <v/>
      </c>
      <c r="E140" s="9" t="n"/>
      <c r="F140" s="9" t="n"/>
      <c r="G140" s="9" t="n"/>
      <c r="H140" s="24" t="n"/>
      <c r="I140" s="9" t="n"/>
      <c r="J140" s="24" t="n"/>
      <c r="K140" s="24" t="n"/>
      <c r="L140" s="24">
        <f>IF($H140="","",ROUND($H140*$J140-N($K140),2))</f>
        <v/>
      </c>
      <c r="M140" s="31" t="n"/>
      <c r="N140" s="24">
        <f>IF(OR($L140="",$M140=""),"",ROUND($L140-$L140/(1+$M140/100),2))</f>
        <v/>
      </c>
      <c r="O140" s="9" t="n"/>
      <c r="P140" s="9" t="n"/>
      <c r="Q140" s="9" t="n"/>
      <c r="R140" s="9" t="n"/>
      <c r="S140" s="9" t="n"/>
    </row>
    <row r="141">
      <c r="A141" s="9" t="n"/>
      <c r="B141" s="9" t="n"/>
      <c r="C141" s="30" t="n"/>
      <c r="D141" s="9">
        <f>IF($C141="","",YEAR($C141)&amp;"-"&amp;TEXT(MONTH($C141),"00"))</f>
        <v/>
      </c>
      <c r="E141" s="9" t="n"/>
      <c r="F141" s="9" t="n"/>
      <c r="G141" s="9" t="n"/>
      <c r="H141" s="24" t="n"/>
      <c r="I141" s="9" t="n"/>
      <c r="J141" s="24" t="n"/>
      <c r="K141" s="24" t="n"/>
      <c r="L141" s="24">
        <f>IF($H141="","",ROUND($H141*$J141-N($K141),2))</f>
        <v/>
      </c>
      <c r="M141" s="31" t="n"/>
      <c r="N141" s="24">
        <f>IF(OR($L141="",$M141=""),"",ROUND($L141-$L141/(1+$M141/100),2))</f>
        <v/>
      </c>
      <c r="O141" s="9" t="n"/>
      <c r="P141" s="9" t="n"/>
      <c r="Q141" s="9" t="n"/>
      <c r="R141" s="9" t="n"/>
      <c r="S141" s="9" t="n"/>
    </row>
    <row r="142">
      <c r="A142" s="9" t="n"/>
      <c r="B142" s="9" t="n"/>
      <c r="C142" s="30" t="n"/>
      <c r="D142" s="9">
        <f>IF($C142="","",YEAR($C142)&amp;"-"&amp;TEXT(MONTH($C142),"00"))</f>
        <v/>
      </c>
      <c r="E142" s="9" t="n"/>
      <c r="F142" s="9" t="n"/>
      <c r="G142" s="9" t="n"/>
      <c r="H142" s="24" t="n"/>
      <c r="I142" s="9" t="n"/>
      <c r="J142" s="24" t="n"/>
      <c r="K142" s="24" t="n"/>
      <c r="L142" s="24">
        <f>IF($H142="","",ROUND($H142*$J142-N($K142),2))</f>
        <v/>
      </c>
      <c r="M142" s="31" t="n"/>
      <c r="N142" s="24">
        <f>IF(OR($L142="",$M142=""),"",ROUND($L142-$L142/(1+$M142/100),2))</f>
        <v/>
      </c>
      <c r="O142" s="9" t="n"/>
      <c r="P142" s="9" t="n"/>
      <c r="Q142" s="9" t="n"/>
      <c r="R142" s="9" t="n"/>
      <c r="S142" s="9" t="n"/>
    </row>
    <row r="143">
      <c r="A143" s="9" t="n"/>
      <c r="B143" s="9" t="n"/>
      <c r="C143" s="30" t="n"/>
      <c r="D143" s="9">
        <f>IF($C143="","",YEAR($C143)&amp;"-"&amp;TEXT(MONTH($C143),"00"))</f>
        <v/>
      </c>
      <c r="E143" s="9" t="n"/>
      <c r="F143" s="9" t="n"/>
      <c r="G143" s="9" t="n"/>
      <c r="H143" s="24" t="n"/>
      <c r="I143" s="9" t="n"/>
      <c r="J143" s="24" t="n"/>
      <c r="K143" s="24" t="n"/>
      <c r="L143" s="24">
        <f>IF($H143="","",ROUND($H143*$J143-N($K143),2))</f>
        <v/>
      </c>
      <c r="M143" s="31" t="n"/>
      <c r="N143" s="24">
        <f>IF(OR($L143="",$M143=""),"",ROUND($L143-$L143/(1+$M143/100),2))</f>
        <v/>
      </c>
      <c r="O143" s="9" t="n"/>
      <c r="P143" s="9" t="n"/>
      <c r="Q143" s="9" t="n"/>
      <c r="R143" s="9" t="n"/>
      <c r="S143" s="9" t="n"/>
    </row>
    <row r="144">
      <c r="A144" s="9" t="n"/>
      <c r="B144" s="9" t="n"/>
      <c r="C144" s="30" t="n"/>
      <c r="D144" s="9">
        <f>IF($C144="","",YEAR($C144)&amp;"-"&amp;TEXT(MONTH($C144),"00"))</f>
        <v/>
      </c>
      <c r="E144" s="9" t="n"/>
      <c r="F144" s="9" t="n"/>
      <c r="G144" s="9" t="n"/>
      <c r="H144" s="24" t="n"/>
      <c r="I144" s="9" t="n"/>
      <c r="J144" s="24" t="n"/>
      <c r="K144" s="24" t="n"/>
      <c r="L144" s="24">
        <f>IF($H144="","",ROUND($H144*$J144-N($K144),2))</f>
        <v/>
      </c>
      <c r="M144" s="31" t="n"/>
      <c r="N144" s="24">
        <f>IF(OR($L144="",$M144=""),"",ROUND($L144-$L144/(1+$M144/100),2))</f>
        <v/>
      </c>
      <c r="O144" s="9" t="n"/>
      <c r="P144" s="9" t="n"/>
      <c r="Q144" s="9" t="n"/>
      <c r="R144" s="9" t="n"/>
      <c r="S144" s="9" t="n"/>
    </row>
    <row r="145">
      <c r="A145" s="9" t="n"/>
      <c r="B145" s="9" t="n"/>
      <c r="C145" s="30" t="n"/>
      <c r="D145" s="9">
        <f>IF($C145="","",YEAR($C145)&amp;"-"&amp;TEXT(MONTH($C145),"00"))</f>
        <v/>
      </c>
      <c r="E145" s="9" t="n"/>
      <c r="F145" s="9" t="n"/>
      <c r="G145" s="9" t="n"/>
      <c r="H145" s="24" t="n"/>
      <c r="I145" s="9" t="n"/>
      <c r="J145" s="24" t="n"/>
      <c r="K145" s="24" t="n"/>
      <c r="L145" s="24">
        <f>IF($H145="","",ROUND($H145*$J145-N($K145),2))</f>
        <v/>
      </c>
      <c r="M145" s="31" t="n"/>
      <c r="N145" s="24">
        <f>IF(OR($L145="",$M145=""),"",ROUND($L145-$L145/(1+$M145/100),2))</f>
        <v/>
      </c>
      <c r="O145" s="9" t="n"/>
      <c r="P145" s="9" t="n"/>
      <c r="Q145" s="9" t="n"/>
      <c r="R145" s="9" t="n"/>
      <c r="S145" s="9" t="n"/>
    </row>
    <row r="146">
      <c r="A146" s="9" t="n"/>
      <c r="B146" s="9" t="n"/>
      <c r="C146" s="30" t="n"/>
      <c r="D146" s="9">
        <f>IF($C146="","",YEAR($C146)&amp;"-"&amp;TEXT(MONTH($C146),"00"))</f>
        <v/>
      </c>
      <c r="E146" s="9" t="n"/>
      <c r="F146" s="9" t="n"/>
      <c r="G146" s="9" t="n"/>
      <c r="H146" s="24" t="n"/>
      <c r="I146" s="9" t="n"/>
      <c r="J146" s="24" t="n"/>
      <c r="K146" s="24" t="n"/>
      <c r="L146" s="24">
        <f>IF($H146="","",ROUND($H146*$J146-N($K146),2))</f>
        <v/>
      </c>
      <c r="M146" s="31" t="n"/>
      <c r="N146" s="24">
        <f>IF(OR($L146="",$M146=""),"",ROUND($L146-$L146/(1+$M146/100),2))</f>
        <v/>
      </c>
      <c r="O146" s="9" t="n"/>
      <c r="P146" s="9" t="n"/>
      <c r="Q146" s="9" t="n"/>
      <c r="R146" s="9" t="n"/>
      <c r="S146" s="9" t="n"/>
    </row>
    <row r="147">
      <c r="A147" s="9" t="n"/>
      <c r="B147" s="9" t="n"/>
      <c r="C147" s="30" t="n"/>
      <c r="D147" s="9">
        <f>IF($C147="","",YEAR($C147)&amp;"-"&amp;TEXT(MONTH($C147),"00"))</f>
        <v/>
      </c>
      <c r="E147" s="9" t="n"/>
      <c r="F147" s="9" t="n"/>
      <c r="G147" s="9" t="n"/>
      <c r="H147" s="24" t="n"/>
      <c r="I147" s="9" t="n"/>
      <c r="J147" s="24" t="n"/>
      <c r="K147" s="24" t="n"/>
      <c r="L147" s="24">
        <f>IF($H147="","",ROUND($H147*$J147-N($K147),2))</f>
        <v/>
      </c>
      <c r="M147" s="31" t="n"/>
      <c r="N147" s="24">
        <f>IF(OR($L147="",$M147=""),"",ROUND($L147-$L147/(1+$M147/100),2))</f>
        <v/>
      </c>
      <c r="O147" s="9" t="n"/>
      <c r="P147" s="9" t="n"/>
      <c r="Q147" s="9" t="n"/>
      <c r="R147" s="9" t="n"/>
      <c r="S147" s="9" t="n"/>
    </row>
    <row r="148">
      <c r="A148" s="9" t="n"/>
      <c r="B148" s="9" t="n"/>
      <c r="C148" s="30" t="n"/>
      <c r="D148" s="9">
        <f>IF($C148="","",YEAR($C148)&amp;"-"&amp;TEXT(MONTH($C148),"00"))</f>
        <v/>
      </c>
      <c r="E148" s="9" t="n"/>
      <c r="F148" s="9" t="n"/>
      <c r="G148" s="9" t="n"/>
      <c r="H148" s="24" t="n"/>
      <c r="I148" s="9" t="n"/>
      <c r="J148" s="24" t="n"/>
      <c r="K148" s="24" t="n"/>
      <c r="L148" s="24">
        <f>IF($H148="","",ROUND($H148*$J148-N($K148),2))</f>
        <v/>
      </c>
      <c r="M148" s="31" t="n"/>
      <c r="N148" s="24">
        <f>IF(OR($L148="",$M148=""),"",ROUND($L148-$L148/(1+$M148/100),2))</f>
        <v/>
      </c>
      <c r="O148" s="9" t="n"/>
      <c r="P148" s="9" t="n"/>
      <c r="Q148" s="9" t="n"/>
      <c r="R148" s="9" t="n"/>
      <c r="S148" s="9" t="n"/>
    </row>
    <row r="149">
      <c r="A149" s="9" t="n"/>
      <c r="B149" s="9" t="n"/>
      <c r="C149" s="30" t="n"/>
      <c r="D149" s="9">
        <f>IF($C149="","",YEAR($C149)&amp;"-"&amp;TEXT(MONTH($C149),"00"))</f>
        <v/>
      </c>
      <c r="E149" s="9" t="n"/>
      <c r="F149" s="9" t="n"/>
      <c r="G149" s="9" t="n"/>
      <c r="H149" s="24" t="n"/>
      <c r="I149" s="9" t="n"/>
      <c r="J149" s="24" t="n"/>
      <c r="K149" s="24" t="n"/>
      <c r="L149" s="24">
        <f>IF($H149="","",ROUND($H149*$J149-N($K149),2))</f>
        <v/>
      </c>
      <c r="M149" s="31" t="n"/>
      <c r="N149" s="24">
        <f>IF(OR($L149="",$M149=""),"",ROUND($L149-$L149/(1+$M149/100),2))</f>
        <v/>
      </c>
      <c r="O149" s="9" t="n"/>
      <c r="P149" s="9" t="n"/>
      <c r="Q149" s="9" t="n"/>
      <c r="R149" s="9" t="n"/>
      <c r="S149" s="9" t="n"/>
    </row>
    <row r="150">
      <c r="A150" s="9" t="n"/>
      <c r="B150" s="9" t="n"/>
      <c r="C150" s="30" t="n"/>
      <c r="D150" s="9">
        <f>IF($C150="","",YEAR($C150)&amp;"-"&amp;TEXT(MONTH($C150),"00"))</f>
        <v/>
      </c>
      <c r="E150" s="9" t="n"/>
      <c r="F150" s="9" t="n"/>
      <c r="G150" s="9" t="n"/>
      <c r="H150" s="24" t="n"/>
      <c r="I150" s="9" t="n"/>
      <c r="J150" s="24" t="n"/>
      <c r="K150" s="24" t="n"/>
      <c r="L150" s="24">
        <f>IF($H150="","",ROUND($H150*$J150-N($K150),2))</f>
        <v/>
      </c>
      <c r="M150" s="31" t="n"/>
      <c r="N150" s="24">
        <f>IF(OR($L150="",$M150=""),"",ROUND($L150-$L150/(1+$M150/100),2))</f>
        <v/>
      </c>
      <c r="O150" s="9" t="n"/>
      <c r="P150" s="9" t="n"/>
      <c r="Q150" s="9" t="n"/>
      <c r="R150" s="9" t="n"/>
      <c r="S150" s="9" t="n"/>
    </row>
    <row r="151">
      <c r="A151" s="9" t="n"/>
      <c r="B151" s="9" t="n"/>
      <c r="C151" s="30" t="n"/>
      <c r="D151" s="9">
        <f>IF($C151="","",YEAR($C151)&amp;"-"&amp;TEXT(MONTH($C151),"00"))</f>
        <v/>
      </c>
      <c r="E151" s="9" t="n"/>
      <c r="F151" s="9" t="n"/>
      <c r="G151" s="9" t="n"/>
      <c r="H151" s="24" t="n"/>
      <c r="I151" s="9" t="n"/>
      <c r="J151" s="24" t="n"/>
      <c r="K151" s="24" t="n"/>
      <c r="L151" s="24">
        <f>IF($H151="","",ROUND($H151*$J151-N($K151),2))</f>
        <v/>
      </c>
      <c r="M151" s="31" t="n"/>
      <c r="N151" s="24">
        <f>IF(OR($L151="",$M151=""),"",ROUND($L151-$L151/(1+$M151/100),2))</f>
        <v/>
      </c>
      <c r="O151" s="9" t="n"/>
      <c r="P151" s="9" t="n"/>
      <c r="Q151" s="9" t="n"/>
      <c r="R151" s="9" t="n"/>
      <c r="S151" s="9" t="n"/>
    </row>
    <row r="152">
      <c r="A152" s="9" t="n"/>
      <c r="B152" s="9" t="n"/>
      <c r="C152" s="30" t="n"/>
      <c r="D152" s="9">
        <f>IF($C152="","",YEAR($C152)&amp;"-"&amp;TEXT(MONTH($C152),"00"))</f>
        <v/>
      </c>
      <c r="E152" s="9" t="n"/>
      <c r="F152" s="9" t="n"/>
      <c r="G152" s="9" t="n"/>
      <c r="H152" s="24" t="n"/>
      <c r="I152" s="9" t="n"/>
      <c r="J152" s="24" t="n"/>
      <c r="K152" s="24" t="n"/>
      <c r="L152" s="24">
        <f>IF($H152="","",ROUND($H152*$J152-N($K152),2))</f>
        <v/>
      </c>
      <c r="M152" s="31" t="n"/>
      <c r="N152" s="24">
        <f>IF(OR($L152="",$M152=""),"",ROUND($L152-$L152/(1+$M152/100),2))</f>
        <v/>
      </c>
      <c r="O152" s="9" t="n"/>
      <c r="P152" s="9" t="n"/>
      <c r="Q152" s="9" t="n"/>
      <c r="R152" s="9" t="n"/>
      <c r="S152" s="9" t="n"/>
    </row>
    <row r="153">
      <c r="A153" s="9" t="n"/>
      <c r="B153" s="9" t="n"/>
      <c r="C153" s="30" t="n"/>
      <c r="D153" s="9">
        <f>IF($C153="","",YEAR($C153)&amp;"-"&amp;TEXT(MONTH($C153),"00"))</f>
        <v/>
      </c>
      <c r="E153" s="9" t="n"/>
      <c r="F153" s="9" t="n"/>
      <c r="G153" s="9" t="n"/>
      <c r="H153" s="24" t="n"/>
      <c r="I153" s="9" t="n"/>
      <c r="J153" s="24" t="n"/>
      <c r="K153" s="24" t="n"/>
      <c r="L153" s="24">
        <f>IF($H153="","",ROUND($H153*$J153-N($K153),2))</f>
        <v/>
      </c>
      <c r="M153" s="31" t="n"/>
      <c r="N153" s="24">
        <f>IF(OR($L153="",$M153=""),"",ROUND($L153-$L153/(1+$M153/100),2))</f>
        <v/>
      </c>
      <c r="O153" s="9" t="n"/>
      <c r="P153" s="9" t="n"/>
      <c r="Q153" s="9" t="n"/>
      <c r="R153" s="9" t="n"/>
      <c r="S153" s="9" t="n"/>
    </row>
    <row r="154">
      <c r="A154" s="9" t="n"/>
      <c r="B154" s="9" t="n"/>
      <c r="C154" s="30" t="n"/>
      <c r="D154" s="9">
        <f>IF($C154="","",YEAR($C154)&amp;"-"&amp;TEXT(MONTH($C154),"00"))</f>
        <v/>
      </c>
      <c r="E154" s="9" t="n"/>
      <c r="F154" s="9" t="n"/>
      <c r="G154" s="9" t="n"/>
      <c r="H154" s="24" t="n"/>
      <c r="I154" s="9" t="n"/>
      <c r="J154" s="24" t="n"/>
      <c r="K154" s="24" t="n"/>
      <c r="L154" s="24">
        <f>IF($H154="","",ROUND($H154*$J154-N($K154),2))</f>
        <v/>
      </c>
      <c r="M154" s="31" t="n"/>
      <c r="N154" s="24">
        <f>IF(OR($L154="",$M154=""),"",ROUND($L154-$L154/(1+$M154/100),2))</f>
        <v/>
      </c>
      <c r="O154" s="9" t="n"/>
      <c r="P154" s="9" t="n"/>
      <c r="Q154" s="9" t="n"/>
      <c r="R154" s="9" t="n"/>
      <c r="S154" s="9" t="n"/>
    </row>
    <row r="155">
      <c r="A155" s="9" t="n"/>
      <c r="B155" s="9" t="n"/>
      <c r="C155" s="30" t="n"/>
      <c r="D155" s="9">
        <f>IF($C155="","",YEAR($C155)&amp;"-"&amp;TEXT(MONTH($C155),"00"))</f>
        <v/>
      </c>
      <c r="E155" s="9" t="n"/>
      <c r="F155" s="9" t="n"/>
      <c r="G155" s="9" t="n"/>
      <c r="H155" s="24" t="n"/>
      <c r="I155" s="9" t="n"/>
      <c r="J155" s="24" t="n"/>
      <c r="K155" s="24" t="n"/>
      <c r="L155" s="24">
        <f>IF($H155="","",ROUND($H155*$J155-N($K155),2))</f>
        <v/>
      </c>
      <c r="M155" s="31" t="n"/>
      <c r="N155" s="24">
        <f>IF(OR($L155="",$M155=""),"",ROUND($L155-$L155/(1+$M155/100),2))</f>
        <v/>
      </c>
      <c r="O155" s="9" t="n"/>
      <c r="P155" s="9" t="n"/>
      <c r="Q155" s="9" t="n"/>
      <c r="R155" s="9" t="n"/>
      <c r="S155" s="9" t="n"/>
    </row>
    <row r="156">
      <c r="A156" s="9" t="n"/>
      <c r="B156" s="9" t="n"/>
      <c r="C156" s="30" t="n"/>
      <c r="D156" s="9">
        <f>IF($C156="","",YEAR($C156)&amp;"-"&amp;TEXT(MONTH($C156),"00"))</f>
        <v/>
      </c>
      <c r="E156" s="9" t="n"/>
      <c r="F156" s="9" t="n"/>
      <c r="G156" s="9" t="n"/>
      <c r="H156" s="24" t="n"/>
      <c r="I156" s="9" t="n"/>
      <c r="J156" s="24" t="n"/>
      <c r="K156" s="24" t="n"/>
      <c r="L156" s="24">
        <f>IF($H156="","",ROUND($H156*$J156-N($K156),2))</f>
        <v/>
      </c>
      <c r="M156" s="31" t="n"/>
      <c r="N156" s="24">
        <f>IF(OR($L156="",$M156=""),"",ROUND($L156-$L156/(1+$M156/100),2))</f>
        <v/>
      </c>
      <c r="O156" s="9" t="n"/>
      <c r="P156" s="9" t="n"/>
      <c r="Q156" s="9" t="n"/>
      <c r="R156" s="9" t="n"/>
      <c r="S156" s="9" t="n"/>
    </row>
    <row r="157">
      <c r="A157" s="9" t="n"/>
      <c r="B157" s="9" t="n"/>
      <c r="C157" s="30" t="n"/>
      <c r="D157" s="9">
        <f>IF($C157="","",YEAR($C157)&amp;"-"&amp;TEXT(MONTH($C157),"00"))</f>
        <v/>
      </c>
      <c r="E157" s="9" t="n"/>
      <c r="F157" s="9" t="n"/>
      <c r="G157" s="9" t="n"/>
      <c r="H157" s="24" t="n"/>
      <c r="I157" s="9" t="n"/>
      <c r="J157" s="24" t="n"/>
      <c r="K157" s="24" t="n"/>
      <c r="L157" s="24">
        <f>IF($H157="","",ROUND($H157*$J157-N($K157),2))</f>
        <v/>
      </c>
      <c r="M157" s="31" t="n"/>
      <c r="N157" s="24">
        <f>IF(OR($L157="",$M157=""),"",ROUND($L157-$L157/(1+$M157/100),2))</f>
        <v/>
      </c>
      <c r="O157" s="9" t="n"/>
      <c r="P157" s="9" t="n"/>
      <c r="Q157" s="9" t="n"/>
      <c r="R157" s="9" t="n"/>
      <c r="S157" s="9" t="n"/>
    </row>
    <row r="158">
      <c r="A158" s="9" t="n"/>
      <c r="B158" s="9" t="n"/>
      <c r="C158" s="30" t="n"/>
      <c r="D158" s="9">
        <f>IF($C158="","",YEAR($C158)&amp;"-"&amp;TEXT(MONTH($C158),"00"))</f>
        <v/>
      </c>
      <c r="E158" s="9" t="n"/>
      <c r="F158" s="9" t="n"/>
      <c r="G158" s="9" t="n"/>
      <c r="H158" s="24" t="n"/>
      <c r="I158" s="9" t="n"/>
      <c r="J158" s="24" t="n"/>
      <c r="K158" s="24" t="n"/>
      <c r="L158" s="24">
        <f>IF($H158="","",ROUND($H158*$J158-N($K158),2))</f>
        <v/>
      </c>
      <c r="M158" s="31" t="n"/>
      <c r="N158" s="24">
        <f>IF(OR($L158="",$M158=""),"",ROUND($L158-$L158/(1+$M158/100),2))</f>
        <v/>
      </c>
      <c r="O158" s="9" t="n"/>
      <c r="P158" s="9" t="n"/>
      <c r="Q158" s="9" t="n"/>
      <c r="R158" s="9" t="n"/>
      <c r="S158" s="9" t="n"/>
    </row>
    <row r="159">
      <c r="A159" s="9" t="n"/>
      <c r="B159" s="9" t="n"/>
      <c r="C159" s="30" t="n"/>
      <c r="D159" s="9">
        <f>IF($C159="","",YEAR($C159)&amp;"-"&amp;TEXT(MONTH($C159),"00"))</f>
        <v/>
      </c>
      <c r="E159" s="9" t="n"/>
      <c r="F159" s="9" t="n"/>
      <c r="G159" s="9" t="n"/>
      <c r="H159" s="24" t="n"/>
      <c r="I159" s="9" t="n"/>
      <c r="J159" s="24" t="n"/>
      <c r="K159" s="24" t="n"/>
      <c r="L159" s="24">
        <f>IF($H159="","",ROUND($H159*$J159-N($K159),2))</f>
        <v/>
      </c>
      <c r="M159" s="31" t="n"/>
      <c r="N159" s="24">
        <f>IF(OR($L159="",$M159=""),"",ROUND($L159-$L159/(1+$M159/100),2))</f>
        <v/>
      </c>
      <c r="O159" s="9" t="n"/>
      <c r="P159" s="9" t="n"/>
      <c r="Q159" s="9" t="n"/>
      <c r="R159" s="9" t="n"/>
      <c r="S159" s="9" t="n"/>
    </row>
    <row r="160">
      <c r="A160" s="9" t="n"/>
      <c r="B160" s="9" t="n"/>
      <c r="C160" s="30" t="n"/>
      <c r="D160" s="9">
        <f>IF($C160="","",YEAR($C160)&amp;"-"&amp;TEXT(MONTH($C160),"00"))</f>
        <v/>
      </c>
      <c r="E160" s="9" t="n"/>
      <c r="F160" s="9" t="n"/>
      <c r="G160" s="9" t="n"/>
      <c r="H160" s="24" t="n"/>
      <c r="I160" s="9" t="n"/>
      <c r="J160" s="24" t="n"/>
      <c r="K160" s="24" t="n"/>
      <c r="L160" s="24">
        <f>IF($H160="","",ROUND($H160*$J160-N($K160),2))</f>
        <v/>
      </c>
      <c r="M160" s="31" t="n"/>
      <c r="N160" s="24">
        <f>IF(OR($L160="",$M160=""),"",ROUND($L160-$L160/(1+$M160/100),2))</f>
        <v/>
      </c>
      <c r="O160" s="9" t="n"/>
      <c r="P160" s="9" t="n"/>
      <c r="Q160" s="9" t="n"/>
      <c r="R160" s="9" t="n"/>
      <c r="S160" s="9" t="n"/>
    </row>
    <row r="161">
      <c r="A161" s="9" t="n"/>
      <c r="B161" s="9" t="n"/>
      <c r="C161" s="30" t="n"/>
      <c r="D161" s="9">
        <f>IF($C161="","",YEAR($C161)&amp;"-"&amp;TEXT(MONTH($C161),"00"))</f>
        <v/>
      </c>
      <c r="E161" s="9" t="n"/>
      <c r="F161" s="9" t="n"/>
      <c r="G161" s="9" t="n"/>
      <c r="H161" s="24" t="n"/>
      <c r="I161" s="9" t="n"/>
      <c r="J161" s="24" t="n"/>
      <c r="K161" s="24" t="n"/>
      <c r="L161" s="24">
        <f>IF($H161="","",ROUND($H161*$J161-N($K161),2))</f>
        <v/>
      </c>
      <c r="M161" s="31" t="n"/>
      <c r="N161" s="24">
        <f>IF(OR($L161="",$M161=""),"",ROUND($L161-$L161/(1+$M161/100),2))</f>
        <v/>
      </c>
      <c r="O161" s="9" t="n"/>
      <c r="P161" s="9" t="n"/>
      <c r="Q161" s="9" t="n"/>
      <c r="R161" s="9" t="n"/>
      <c r="S161" s="9" t="n"/>
    </row>
    <row r="162">
      <c r="A162" s="9" t="n"/>
      <c r="B162" s="9" t="n"/>
      <c r="C162" s="30" t="n"/>
      <c r="D162" s="9">
        <f>IF($C162="","",YEAR($C162)&amp;"-"&amp;TEXT(MONTH($C162),"00"))</f>
        <v/>
      </c>
      <c r="E162" s="9" t="n"/>
      <c r="F162" s="9" t="n"/>
      <c r="G162" s="9" t="n"/>
      <c r="H162" s="24" t="n"/>
      <c r="I162" s="9" t="n"/>
      <c r="J162" s="24" t="n"/>
      <c r="K162" s="24" t="n"/>
      <c r="L162" s="24">
        <f>IF($H162="","",ROUND($H162*$J162-N($K162),2))</f>
        <v/>
      </c>
      <c r="M162" s="31" t="n"/>
      <c r="N162" s="24">
        <f>IF(OR($L162="",$M162=""),"",ROUND($L162-$L162/(1+$M162/100),2))</f>
        <v/>
      </c>
      <c r="O162" s="9" t="n"/>
      <c r="P162" s="9" t="n"/>
      <c r="Q162" s="9" t="n"/>
      <c r="R162" s="9" t="n"/>
      <c r="S162" s="9" t="n"/>
    </row>
    <row r="163">
      <c r="A163" s="9" t="n"/>
      <c r="B163" s="9" t="n"/>
      <c r="C163" s="30" t="n"/>
      <c r="D163" s="9">
        <f>IF($C163="","",YEAR($C163)&amp;"-"&amp;TEXT(MONTH($C163),"00"))</f>
        <v/>
      </c>
      <c r="E163" s="9" t="n"/>
      <c r="F163" s="9" t="n"/>
      <c r="G163" s="9" t="n"/>
      <c r="H163" s="24" t="n"/>
      <c r="I163" s="9" t="n"/>
      <c r="J163" s="24" t="n"/>
      <c r="K163" s="24" t="n"/>
      <c r="L163" s="24">
        <f>IF($H163="","",ROUND($H163*$J163-N($K163),2))</f>
        <v/>
      </c>
      <c r="M163" s="31" t="n"/>
      <c r="N163" s="24">
        <f>IF(OR($L163="",$M163=""),"",ROUND($L163-$L163/(1+$M163/100),2))</f>
        <v/>
      </c>
      <c r="O163" s="9" t="n"/>
      <c r="P163" s="9" t="n"/>
      <c r="Q163" s="9" t="n"/>
      <c r="R163" s="9" t="n"/>
      <c r="S163" s="9" t="n"/>
    </row>
    <row r="164">
      <c r="A164" s="9" t="n"/>
      <c r="B164" s="9" t="n"/>
      <c r="C164" s="30" t="n"/>
      <c r="D164" s="9">
        <f>IF($C164="","",YEAR($C164)&amp;"-"&amp;TEXT(MONTH($C164),"00"))</f>
        <v/>
      </c>
      <c r="E164" s="9" t="n"/>
      <c r="F164" s="9" t="n"/>
      <c r="G164" s="9" t="n"/>
      <c r="H164" s="24" t="n"/>
      <c r="I164" s="9" t="n"/>
      <c r="J164" s="24" t="n"/>
      <c r="K164" s="24" t="n"/>
      <c r="L164" s="24">
        <f>IF($H164="","",ROUND($H164*$J164-N($K164),2))</f>
        <v/>
      </c>
      <c r="M164" s="31" t="n"/>
      <c r="N164" s="24">
        <f>IF(OR($L164="",$M164=""),"",ROUND($L164-$L164/(1+$M164/100),2))</f>
        <v/>
      </c>
      <c r="O164" s="9" t="n"/>
      <c r="P164" s="9" t="n"/>
      <c r="Q164" s="9" t="n"/>
      <c r="R164" s="9" t="n"/>
      <c r="S164" s="9" t="n"/>
    </row>
    <row r="165">
      <c r="A165" s="9" t="n"/>
      <c r="B165" s="9" t="n"/>
      <c r="C165" s="30" t="n"/>
      <c r="D165" s="9">
        <f>IF($C165="","",YEAR($C165)&amp;"-"&amp;TEXT(MONTH($C165),"00"))</f>
        <v/>
      </c>
      <c r="E165" s="9" t="n"/>
      <c r="F165" s="9" t="n"/>
      <c r="G165" s="9" t="n"/>
      <c r="H165" s="24" t="n"/>
      <c r="I165" s="9" t="n"/>
      <c r="J165" s="24" t="n"/>
      <c r="K165" s="24" t="n"/>
      <c r="L165" s="24">
        <f>IF($H165="","",ROUND($H165*$J165-N($K165),2))</f>
        <v/>
      </c>
      <c r="M165" s="31" t="n"/>
      <c r="N165" s="24">
        <f>IF(OR($L165="",$M165=""),"",ROUND($L165-$L165/(1+$M165/100),2))</f>
        <v/>
      </c>
      <c r="O165" s="9" t="n"/>
      <c r="P165" s="9" t="n"/>
      <c r="Q165" s="9" t="n"/>
      <c r="R165" s="9" t="n"/>
      <c r="S165" s="9" t="n"/>
    </row>
    <row r="166">
      <c r="A166" s="9" t="n"/>
      <c r="B166" s="9" t="n"/>
      <c r="C166" s="30" t="n"/>
      <c r="D166" s="9">
        <f>IF($C166="","",YEAR($C166)&amp;"-"&amp;TEXT(MONTH($C166),"00"))</f>
        <v/>
      </c>
      <c r="E166" s="9" t="n"/>
      <c r="F166" s="9" t="n"/>
      <c r="G166" s="9" t="n"/>
      <c r="H166" s="24" t="n"/>
      <c r="I166" s="9" t="n"/>
      <c r="J166" s="24" t="n"/>
      <c r="K166" s="24" t="n"/>
      <c r="L166" s="24">
        <f>IF($H166="","",ROUND($H166*$J166-N($K166),2))</f>
        <v/>
      </c>
      <c r="M166" s="31" t="n"/>
      <c r="N166" s="24">
        <f>IF(OR($L166="",$M166=""),"",ROUND($L166-$L166/(1+$M166/100),2))</f>
        <v/>
      </c>
      <c r="O166" s="9" t="n"/>
      <c r="P166" s="9" t="n"/>
      <c r="Q166" s="9" t="n"/>
      <c r="R166" s="9" t="n"/>
      <c r="S166" s="9" t="n"/>
    </row>
    <row r="167">
      <c r="A167" s="9" t="n"/>
      <c r="B167" s="9" t="n"/>
      <c r="C167" s="30" t="n"/>
      <c r="D167" s="9">
        <f>IF($C167="","",YEAR($C167)&amp;"-"&amp;TEXT(MONTH($C167),"00"))</f>
        <v/>
      </c>
      <c r="E167" s="9" t="n"/>
      <c r="F167" s="9" t="n"/>
      <c r="G167" s="9" t="n"/>
      <c r="H167" s="24" t="n"/>
      <c r="I167" s="9" t="n"/>
      <c r="J167" s="24" t="n"/>
      <c r="K167" s="24" t="n"/>
      <c r="L167" s="24">
        <f>IF($H167="","",ROUND($H167*$J167-N($K167),2))</f>
        <v/>
      </c>
      <c r="M167" s="31" t="n"/>
      <c r="N167" s="24">
        <f>IF(OR($L167="",$M167=""),"",ROUND($L167-$L167/(1+$M167/100),2))</f>
        <v/>
      </c>
      <c r="O167" s="9" t="n"/>
      <c r="P167" s="9" t="n"/>
      <c r="Q167" s="9" t="n"/>
      <c r="R167" s="9" t="n"/>
      <c r="S167" s="9" t="n"/>
    </row>
    <row r="168">
      <c r="A168" s="9" t="n"/>
      <c r="B168" s="9" t="n"/>
      <c r="C168" s="30" t="n"/>
      <c r="D168" s="9">
        <f>IF($C168="","",YEAR($C168)&amp;"-"&amp;TEXT(MONTH($C168),"00"))</f>
        <v/>
      </c>
      <c r="E168" s="9" t="n"/>
      <c r="F168" s="9" t="n"/>
      <c r="G168" s="9" t="n"/>
      <c r="H168" s="24" t="n"/>
      <c r="I168" s="9" t="n"/>
      <c r="J168" s="24" t="n"/>
      <c r="K168" s="24" t="n"/>
      <c r="L168" s="24">
        <f>IF($H168="","",ROUND($H168*$J168-N($K168),2))</f>
        <v/>
      </c>
      <c r="M168" s="31" t="n"/>
      <c r="N168" s="24">
        <f>IF(OR($L168="",$M168=""),"",ROUND($L168-$L168/(1+$M168/100),2))</f>
        <v/>
      </c>
      <c r="O168" s="9" t="n"/>
      <c r="P168" s="9" t="n"/>
      <c r="Q168" s="9" t="n"/>
      <c r="R168" s="9" t="n"/>
      <c r="S168" s="9" t="n"/>
    </row>
    <row r="169">
      <c r="A169" s="9" t="n"/>
      <c r="B169" s="9" t="n"/>
      <c r="C169" s="30" t="n"/>
      <c r="D169" s="9">
        <f>IF($C169="","",YEAR($C169)&amp;"-"&amp;TEXT(MONTH($C169),"00"))</f>
        <v/>
      </c>
      <c r="E169" s="9" t="n"/>
      <c r="F169" s="9" t="n"/>
      <c r="G169" s="9" t="n"/>
      <c r="H169" s="24" t="n"/>
      <c r="I169" s="9" t="n"/>
      <c r="J169" s="24" t="n"/>
      <c r="K169" s="24" t="n"/>
      <c r="L169" s="24">
        <f>IF($H169="","",ROUND($H169*$J169-N($K169),2))</f>
        <v/>
      </c>
      <c r="M169" s="31" t="n"/>
      <c r="N169" s="24">
        <f>IF(OR($L169="",$M169=""),"",ROUND($L169-$L169/(1+$M169/100),2))</f>
        <v/>
      </c>
      <c r="O169" s="9" t="n"/>
      <c r="P169" s="9" t="n"/>
      <c r="Q169" s="9" t="n"/>
      <c r="R169" s="9" t="n"/>
      <c r="S169" s="9" t="n"/>
    </row>
    <row r="170">
      <c r="A170" s="9" t="n"/>
      <c r="B170" s="9" t="n"/>
      <c r="C170" s="30" t="n"/>
      <c r="D170" s="9">
        <f>IF($C170="","",YEAR($C170)&amp;"-"&amp;TEXT(MONTH($C170),"00"))</f>
        <v/>
      </c>
      <c r="E170" s="9" t="n"/>
      <c r="F170" s="9" t="n"/>
      <c r="G170" s="9" t="n"/>
      <c r="H170" s="24" t="n"/>
      <c r="I170" s="9" t="n"/>
      <c r="J170" s="24" t="n"/>
      <c r="K170" s="24" t="n"/>
      <c r="L170" s="24">
        <f>IF($H170="","",ROUND($H170*$J170-N($K170),2))</f>
        <v/>
      </c>
      <c r="M170" s="31" t="n"/>
      <c r="N170" s="24">
        <f>IF(OR($L170="",$M170=""),"",ROUND($L170-$L170/(1+$M170/100),2))</f>
        <v/>
      </c>
      <c r="O170" s="9" t="n"/>
      <c r="P170" s="9" t="n"/>
      <c r="Q170" s="9" t="n"/>
      <c r="R170" s="9" t="n"/>
      <c r="S170" s="9" t="n"/>
    </row>
    <row r="171">
      <c r="A171" s="9" t="n"/>
      <c r="B171" s="9" t="n"/>
      <c r="C171" s="30" t="n"/>
      <c r="D171" s="9">
        <f>IF($C171="","",YEAR($C171)&amp;"-"&amp;TEXT(MONTH($C171),"00"))</f>
        <v/>
      </c>
      <c r="E171" s="9" t="n"/>
      <c r="F171" s="9" t="n"/>
      <c r="G171" s="9" t="n"/>
      <c r="H171" s="24" t="n"/>
      <c r="I171" s="9" t="n"/>
      <c r="J171" s="24" t="n"/>
      <c r="K171" s="24" t="n"/>
      <c r="L171" s="24">
        <f>IF($H171="","",ROUND($H171*$J171-N($K171),2))</f>
        <v/>
      </c>
      <c r="M171" s="31" t="n"/>
      <c r="N171" s="24">
        <f>IF(OR($L171="",$M171=""),"",ROUND($L171-$L171/(1+$M171/100),2))</f>
        <v/>
      </c>
      <c r="O171" s="9" t="n"/>
      <c r="P171" s="9" t="n"/>
      <c r="Q171" s="9" t="n"/>
      <c r="R171" s="9" t="n"/>
      <c r="S171" s="9" t="n"/>
    </row>
    <row r="172">
      <c r="A172" s="9" t="n"/>
      <c r="B172" s="9" t="n"/>
      <c r="C172" s="30" t="n"/>
      <c r="D172" s="9">
        <f>IF($C172="","",YEAR($C172)&amp;"-"&amp;TEXT(MONTH($C172),"00"))</f>
        <v/>
      </c>
      <c r="E172" s="9" t="n"/>
      <c r="F172" s="9" t="n"/>
      <c r="G172" s="9" t="n"/>
      <c r="H172" s="24" t="n"/>
      <c r="I172" s="9" t="n"/>
      <c r="J172" s="24" t="n"/>
      <c r="K172" s="24" t="n"/>
      <c r="L172" s="24">
        <f>IF($H172="","",ROUND($H172*$J172-N($K172),2))</f>
        <v/>
      </c>
      <c r="M172" s="31" t="n"/>
      <c r="N172" s="24">
        <f>IF(OR($L172="",$M172=""),"",ROUND($L172-$L172/(1+$M172/100),2))</f>
        <v/>
      </c>
      <c r="O172" s="9" t="n"/>
      <c r="P172" s="9" t="n"/>
      <c r="Q172" s="9" t="n"/>
      <c r="R172" s="9" t="n"/>
      <c r="S172" s="9" t="n"/>
    </row>
    <row r="173">
      <c r="A173" s="9" t="n"/>
      <c r="B173" s="9" t="n"/>
      <c r="C173" s="30" t="n"/>
      <c r="D173" s="9">
        <f>IF($C173="","",YEAR($C173)&amp;"-"&amp;TEXT(MONTH($C173),"00"))</f>
        <v/>
      </c>
      <c r="E173" s="9" t="n"/>
      <c r="F173" s="9" t="n"/>
      <c r="G173" s="9" t="n"/>
      <c r="H173" s="24" t="n"/>
      <c r="I173" s="9" t="n"/>
      <c r="J173" s="24" t="n"/>
      <c r="K173" s="24" t="n"/>
      <c r="L173" s="24">
        <f>IF($H173="","",ROUND($H173*$J173-N($K173),2))</f>
        <v/>
      </c>
      <c r="M173" s="31" t="n"/>
      <c r="N173" s="24">
        <f>IF(OR($L173="",$M173=""),"",ROUND($L173-$L173/(1+$M173/100),2))</f>
        <v/>
      </c>
      <c r="O173" s="9" t="n"/>
      <c r="P173" s="9" t="n"/>
      <c r="Q173" s="9" t="n"/>
      <c r="R173" s="9" t="n"/>
      <c r="S173" s="9" t="n"/>
    </row>
    <row r="174">
      <c r="A174" s="9" t="n"/>
      <c r="B174" s="9" t="n"/>
      <c r="C174" s="30" t="n"/>
      <c r="D174" s="9">
        <f>IF($C174="","",YEAR($C174)&amp;"-"&amp;TEXT(MONTH($C174),"00"))</f>
        <v/>
      </c>
      <c r="E174" s="9" t="n"/>
      <c r="F174" s="9" t="n"/>
      <c r="G174" s="9" t="n"/>
      <c r="H174" s="24" t="n"/>
      <c r="I174" s="9" t="n"/>
      <c r="J174" s="24" t="n"/>
      <c r="K174" s="24" t="n"/>
      <c r="L174" s="24">
        <f>IF($H174="","",ROUND($H174*$J174-N($K174),2))</f>
        <v/>
      </c>
      <c r="M174" s="31" t="n"/>
      <c r="N174" s="24">
        <f>IF(OR($L174="",$M174=""),"",ROUND($L174-$L174/(1+$M174/100),2))</f>
        <v/>
      </c>
      <c r="O174" s="9" t="n"/>
      <c r="P174" s="9" t="n"/>
      <c r="Q174" s="9" t="n"/>
      <c r="R174" s="9" t="n"/>
      <c r="S174" s="9" t="n"/>
    </row>
    <row r="175">
      <c r="A175" s="9" t="n"/>
      <c r="B175" s="9" t="n"/>
      <c r="C175" s="30" t="n"/>
      <c r="D175" s="9">
        <f>IF($C175="","",YEAR($C175)&amp;"-"&amp;TEXT(MONTH($C175),"00"))</f>
        <v/>
      </c>
      <c r="E175" s="9" t="n"/>
      <c r="F175" s="9" t="n"/>
      <c r="G175" s="9" t="n"/>
      <c r="H175" s="24" t="n"/>
      <c r="I175" s="9" t="n"/>
      <c r="J175" s="24" t="n"/>
      <c r="K175" s="24" t="n"/>
      <c r="L175" s="24">
        <f>IF($H175="","",ROUND($H175*$J175-N($K175),2))</f>
        <v/>
      </c>
      <c r="M175" s="31" t="n"/>
      <c r="N175" s="24">
        <f>IF(OR($L175="",$M175=""),"",ROUND($L175-$L175/(1+$M175/100),2))</f>
        <v/>
      </c>
      <c r="O175" s="9" t="n"/>
      <c r="P175" s="9" t="n"/>
      <c r="Q175" s="9" t="n"/>
      <c r="R175" s="9" t="n"/>
      <c r="S175" s="9" t="n"/>
    </row>
    <row r="176">
      <c r="A176" s="9" t="n"/>
      <c r="B176" s="9" t="n"/>
      <c r="C176" s="30" t="n"/>
      <c r="D176" s="9">
        <f>IF($C176="","",YEAR($C176)&amp;"-"&amp;TEXT(MONTH($C176),"00"))</f>
        <v/>
      </c>
      <c r="E176" s="9" t="n"/>
      <c r="F176" s="9" t="n"/>
      <c r="G176" s="9" t="n"/>
      <c r="H176" s="24" t="n"/>
      <c r="I176" s="9" t="n"/>
      <c r="J176" s="24" t="n"/>
      <c r="K176" s="24" t="n"/>
      <c r="L176" s="24">
        <f>IF($H176="","",ROUND($H176*$J176-N($K176),2))</f>
        <v/>
      </c>
      <c r="M176" s="31" t="n"/>
      <c r="N176" s="24">
        <f>IF(OR($L176="",$M176=""),"",ROUND($L176-$L176/(1+$M176/100),2))</f>
        <v/>
      </c>
      <c r="O176" s="9" t="n"/>
      <c r="P176" s="9" t="n"/>
      <c r="Q176" s="9" t="n"/>
      <c r="R176" s="9" t="n"/>
      <c r="S176" s="9" t="n"/>
    </row>
    <row r="177">
      <c r="A177" s="9" t="n"/>
      <c r="B177" s="9" t="n"/>
      <c r="C177" s="30" t="n"/>
      <c r="D177" s="9">
        <f>IF($C177="","",YEAR($C177)&amp;"-"&amp;TEXT(MONTH($C177),"00"))</f>
        <v/>
      </c>
      <c r="E177" s="9" t="n"/>
      <c r="F177" s="9" t="n"/>
      <c r="G177" s="9" t="n"/>
      <c r="H177" s="24" t="n"/>
      <c r="I177" s="9" t="n"/>
      <c r="J177" s="24" t="n"/>
      <c r="K177" s="24" t="n"/>
      <c r="L177" s="24">
        <f>IF($H177="","",ROUND($H177*$J177-N($K177),2))</f>
        <v/>
      </c>
      <c r="M177" s="31" t="n"/>
      <c r="N177" s="24">
        <f>IF(OR($L177="",$M177=""),"",ROUND($L177-$L177/(1+$M177/100),2))</f>
        <v/>
      </c>
      <c r="O177" s="9" t="n"/>
      <c r="P177" s="9" t="n"/>
      <c r="Q177" s="9" t="n"/>
      <c r="R177" s="9" t="n"/>
      <c r="S177" s="9" t="n"/>
    </row>
    <row r="178">
      <c r="A178" s="9" t="n"/>
      <c r="B178" s="9" t="n"/>
      <c r="C178" s="30" t="n"/>
      <c r="D178" s="9">
        <f>IF($C178="","",YEAR($C178)&amp;"-"&amp;TEXT(MONTH($C178),"00"))</f>
        <v/>
      </c>
      <c r="E178" s="9" t="n"/>
      <c r="F178" s="9" t="n"/>
      <c r="G178" s="9" t="n"/>
      <c r="H178" s="24" t="n"/>
      <c r="I178" s="9" t="n"/>
      <c r="J178" s="24" t="n"/>
      <c r="K178" s="24" t="n"/>
      <c r="L178" s="24">
        <f>IF($H178="","",ROUND($H178*$J178-N($K178),2))</f>
        <v/>
      </c>
      <c r="M178" s="31" t="n"/>
      <c r="N178" s="24">
        <f>IF(OR($L178="",$M178=""),"",ROUND($L178-$L178/(1+$M178/100),2))</f>
        <v/>
      </c>
      <c r="O178" s="9" t="n"/>
      <c r="P178" s="9" t="n"/>
      <c r="Q178" s="9" t="n"/>
      <c r="R178" s="9" t="n"/>
      <c r="S178" s="9" t="n"/>
    </row>
    <row r="179">
      <c r="A179" s="9" t="n"/>
      <c r="B179" s="9" t="n"/>
      <c r="C179" s="30" t="n"/>
      <c r="D179" s="9">
        <f>IF($C179="","",YEAR($C179)&amp;"-"&amp;TEXT(MONTH($C179),"00"))</f>
        <v/>
      </c>
      <c r="E179" s="9" t="n"/>
      <c r="F179" s="9" t="n"/>
      <c r="G179" s="9" t="n"/>
      <c r="H179" s="24" t="n"/>
      <c r="I179" s="9" t="n"/>
      <c r="J179" s="24" t="n"/>
      <c r="K179" s="24" t="n"/>
      <c r="L179" s="24">
        <f>IF($H179="","",ROUND($H179*$J179-N($K179),2))</f>
        <v/>
      </c>
      <c r="M179" s="31" t="n"/>
      <c r="N179" s="24">
        <f>IF(OR($L179="",$M179=""),"",ROUND($L179-$L179/(1+$M179/100),2))</f>
        <v/>
      </c>
      <c r="O179" s="9" t="n"/>
      <c r="P179" s="9" t="n"/>
      <c r="Q179" s="9" t="n"/>
      <c r="R179" s="9" t="n"/>
      <c r="S179" s="9" t="n"/>
    </row>
    <row r="180">
      <c r="A180" s="9" t="n"/>
      <c r="B180" s="9" t="n"/>
      <c r="C180" s="30" t="n"/>
      <c r="D180" s="9">
        <f>IF($C180="","",YEAR($C180)&amp;"-"&amp;TEXT(MONTH($C180),"00"))</f>
        <v/>
      </c>
      <c r="E180" s="9" t="n"/>
      <c r="F180" s="9" t="n"/>
      <c r="G180" s="9" t="n"/>
      <c r="H180" s="24" t="n"/>
      <c r="I180" s="9" t="n"/>
      <c r="J180" s="24" t="n"/>
      <c r="K180" s="24" t="n"/>
      <c r="L180" s="24">
        <f>IF($H180="","",ROUND($H180*$J180-N($K180),2))</f>
        <v/>
      </c>
      <c r="M180" s="31" t="n"/>
      <c r="N180" s="24">
        <f>IF(OR($L180="",$M180=""),"",ROUND($L180-$L180/(1+$M180/100),2))</f>
        <v/>
      </c>
      <c r="O180" s="9" t="n"/>
      <c r="P180" s="9" t="n"/>
      <c r="Q180" s="9" t="n"/>
      <c r="R180" s="9" t="n"/>
      <c r="S180" s="9" t="n"/>
    </row>
    <row r="181">
      <c r="A181" s="9" t="n"/>
      <c r="B181" s="9" t="n"/>
      <c r="C181" s="30" t="n"/>
      <c r="D181" s="9">
        <f>IF($C181="","",YEAR($C181)&amp;"-"&amp;TEXT(MONTH($C181),"00"))</f>
        <v/>
      </c>
      <c r="E181" s="9" t="n"/>
      <c r="F181" s="9" t="n"/>
      <c r="G181" s="9" t="n"/>
      <c r="H181" s="24" t="n"/>
      <c r="I181" s="9" t="n"/>
      <c r="J181" s="24" t="n"/>
      <c r="K181" s="24" t="n"/>
      <c r="L181" s="24">
        <f>IF($H181="","",ROUND($H181*$J181-N($K181),2))</f>
        <v/>
      </c>
      <c r="M181" s="31" t="n"/>
      <c r="N181" s="24">
        <f>IF(OR($L181="",$M181=""),"",ROUND($L181-$L181/(1+$M181/100),2))</f>
        <v/>
      </c>
      <c r="O181" s="9" t="n"/>
      <c r="P181" s="9" t="n"/>
      <c r="Q181" s="9" t="n"/>
      <c r="R181" s="9" t="n"/>
      <c r="S181" s="9" t="n"/>
    </row>
    <row r="182">
      <c r="A182" s="9" t="n"/>
      <c r="B182" s="9" t="n"/>
      <c r="C182" s="30" t="n"/>
      <c r="D182" s="9">
        <f>IF($C182="","",YEAR($C182)&amp;"-"&amp;TEXT(MONTH($C182),"00"))</f>
        <v/>
      </c>
      <c r="E182" s="9" t="n"/>
      <c r="F182" s="9" t="n"/>
      <c r="G182" s="9" t="n"/>
      <c r="H182" s="24" t="n"/>
      <c r="I182" s="9" t="n"/>
      <c r="J182" s="24" t="n"/>
      <c r="K182" s="24" t="n"/>
      <c r="L182" s="24">
        <f>IF($H182="","",ROUND($H182*$J182-N($K182),2))</f>
        <v/>
      </c>
      <c r="M182" s="31" t="n"/>
      <c r="N182" s="24">
        <f>IF(OR($L182="",$M182=""),"",ROUND($L182-$L182/(1+$M182/100),2))</f>
        <v/>
      </c>
      <c r="O182" s="9" t="n"/>
      <c r="P182" s="9" t="n"/>
      <c r="Q182" s="9" t="n"/>
      <c r="R182" s="9" t="n"/>
      <c r="S182" s="9" t="n"/>
    </row>
    <row r="183">
      <c r="A183" s="9" t="n"/>
      <c r="B183" s="9" t="n"/>
      <c r="C183" s="30" t="n"/>
      <c r="D183" s="9">
        <f>IF($C183="","",YEAR($C183)&amp;"-"&amp;TEXT(MONTH($C183),"00"))</f>
        <v/>
      </c>
      <c r="E183" s="9" t="n"/>
      <c r="F183" s="9" t="n"/>
      <c r="G183" s="9" t="n"/>
      <c r="H183" s="24" t="n"/>
      <c r="I183" s="9" t="n"/>
      <c r="J183" s="24" t="n"/>
      <c r="K183" s="24" t="n"/>
      <c r="L183" s="24">
        <f>IF($H183="","",ROUND($H183*$J183-N($K183),2))</f>
        <v/>
      </c>
      <c r="M183" s="31" t="n"/>
      <c r="N183" s="24">
        <f>IF(OR($L183="",$M183=""),"",ROUND($L183-$L183/(1+$M183/100),2))</f>
        <v/>
      </c>
      <c r="O183" s="9" t="n"/>
      <c r="P183" s="9" t="n"/>
      <c r="Q183" s="9" t="n"/>
      <c r="R183" s="9" t="n"/>
      <c r="S183" s="9" t="n"/>
    </row>
    <row r="184">
      <c r="A184" s="9" t="n"/>
      <c r="B184" s="9" t="n"/>
      <c r="C184" s="30" t="n"/>
      <c r="D184" s="9">
        <f>IF($C184="","",YEAR($C184)&amp;"-"&amp;TEXT(MONTH($C184),"00"))</f>
        <v/>
      </c>
      <c r="E184" s="9" t="n"/>
      <c r="F184" s="9" t="n"/>
      <c r="G184" s="9" t="n"/>
      <c r="H184" s="24" t="n"/>
      <c r="I184" s="9" t="n"/>
      <c r="J184" s="24" t="n"/>
      <c r="K184" s="24" t="n"/>
      <c r="L184" s="24">
        <f>IF($H184="","",ROUND($H184*$J184-N($K184),2))</f>
        <v/>
      </c>
      <c r="M184" s="31" t="n"/>
      <c r="N184" s="24">
        <f>IF(OR($L184="",$M184=""),"",ROUND($L184-$L184/(1+$M184/100),2))</f>
        <v/>
      </c>
      <c r="O184" s="9" t="n"/>
      <c r="P184" s="9" t="n"/>
      <c r="Q184" s="9" t="n"/>
      <c r="R184" s="9" t="n"/>
      <c r="S184" s="9" t="n"/>
    </row>
    <row r="185">
      <c r="A185" s="9" t="n"/>
      <c r="B185" s="9" t="n"/>
      <c r="C185" s="30" t="n"/>
      <c r="D185" s="9">
        <f>IF($C185="","",YEAR($C185)&amp;"-"&amp;TEXT(MONTH($C185),"00"))</f>
        <v/>
      </c>
      <c r="E185" s="9" t="n"/>
      <c r="F185" s="9" t="n"/>
      <c r="G185" s="9" t="n"/>
      <c r="H185" s="24" t="n"/>
      <c r="I185" s="9" t="n"/>
      <c r="J185" s="24" t="n"/>
      <c r="K185" s="24" t="n"/>
      <c r="L185" s="24">
        <f>IF($H185="","",ROUND($H185*$J185-N($K185),2))</f>
        <v/>
      </c>
      <c r="M185" s="31" t="n"/>
      <c r="N185" s="24">
        <f>IF(OR($L185="",$M185=""),"",ROUND($L185-$L185/(1+$M185/100),2))</f>
        <v/>
      </c>
      <c r="O185" s="9" t="n"/>
      <c r="P185" s="9" t="n"/>
      <c r="Q185" s="9" t="n"/>
      <c r="R185" s="9" t="n"/>
      <c r="S185" s="9" t="n"/>
    </row>
    <row r="186">
      <c r="A186" s="9" t="n"/>
      <c r="B186" s="9" t="n"/>
      <c r="C186" s="30" t="n"/>
      <c r="D186" s="9">
        <f>IF($C186="","",YEAR($C186)&amp;"-"&amp;TEXT(MONTH($C186),"00"))</f>
        <v/>
      </c>
      <c r="E186" s="9" t="n"/>
      <c r="F186" s="9" t="n"/>
      <c r="G186" s="9" t="n"/>
      <c r="H186" s="24" t="n"/>
      <c r="I186" s="9" t="n"/>
      <c r="J186" s="24" t="n"/>
      <c r="K186" s="24" t="n"/>
      <c r="L186" s="24">
        <f>IF($H186="","",ROUND($H186*$J186-N($K186),2))</f>
        <v/>
      </c>
      <c r="M186" s="31" t="n"/>
      <c r="N186" s="24">
        <f>IF(OR($L186="",$M186=""),"",ROUND($L186-$L186/(1+$M186/100),2))</f>
        <v/>
      </c>
      <c r="O186" s="9" t="n"/>
      <c r="P186" s="9" t="n"/>
      <c r="Q186" s="9" t="n"/>
      <c r="R186" s="9" t="n"/>
      <c r="S186" s="9" t="n"/>
    </row>
    <row r="187">
      <c r="A187" s="9" t="n"/>
      <c r="B187" s="9" t="n"/>
      <c r="C187" s="30" t="n"/>
      <c r="D187" s="9">
        <f>IF($C187="","",YEAR($C187)&amp;"-"&amp;TEXT(MONTH($C187),"00"))</f>
        <v/>
      </c>
      <c r="E187" s="9" t="n"/>
      <c r="F187" s="9" t="n"/>
      <c r="G187" s="9" t="n"/>
      <c r="H187" s="24" t="n"/>
      <c r="I187" s="9" t="n"/>
      <c r="J187" s="24" t="n"/>
      <c r="K187" s="24" t="n"/>
      <c r="L187" s="24">
        <f>IF($H187="","",ROUND($H187*$J187-N($K187),2))</f>
        <v/>
      </c>
      <c r="M187" s="31" t="n"/>
      <c r="N187" s="24">
        <f>IF(OR($L187="",$M187=""),"",ROUND($L187-$L187/(1+$M187/100),2))</f>
        <v/>
      </c>
      <c r="O187" s="9" t="n"/>
      <c r="P187" s="9" t="n"/>
      <c r="Q187" s="9" t="n"/>
      <c r="R187" s="9" t="n"/>
      <c r="S187" s="9" t="n"/>
    </row>
    <row r="188">
      <c r="A188" s="9" t="n"/>
      <c r="B188" s="9" t="n"/>
      <c r="C188" s="30" t="n"/>
      <c r="D188" s="9">
        <f>IF($C188="","",YEAR($C188)&amp;"-"&amp;TEXT(MONTH($C188),"00"))</f>
        <v/>
      </c>
      <c r="E188" s="9" t="n"/>
      <c r="F188" s="9" t="n"/>
      <c r="G188" s="9" t="n"/>
      <c r="H188" s="24" t="n"/>
      <c r="I188" s="9" t="n"/>
      <c r="J188" s="24" t="n"/>
      <c r="K188" s="24" t="n"/>
      <c r="L188" s="24">
        <f>IF($H188="","",ROUND($H188*$J188-N($K188),2))</f>
        <v/>
      </c>
      <c r="M188" s="31" t="n"/>
      <c r="N188" s="24">
        <f>IF(OR($L188="",$M188=""),"",ROUND($L188-$L188/(1+$M188/100),2))</f>
        <v/>
      </c>
      <c r="O188" s="9" t="n"/>
      <c r="P188" s="9" t="n"/>
      <c r="Q188" s="9" t="n"/>
      <c r="R188" s="9" t="n"/>
      <c r="S188" s="9" t="n"/>
    </row>
    <row r="189">
      <c r="A189" s="9" t="n"/>
      <c r="B189" s="9" t="n"/>
      <c r="C189" s="30" t="n"/>
      <c r="D189" s="9">
        <f>IF($C189="","",YEAR($C189)&amp;"-"&amp;TEXT(MONTH($C189),"00"))</f>
        <v/>
      </c>
      <c r="E189" s="9" t="n"/>
      <c r="F189" s="9" t="n"/>
      <c r="G189" s="9" t="n"/>
      <c r="H189" s="24" t="n"/>
      <c r="I189" s="9" t="n"/>
      <c r="J189" s="24" t="n"/>
      <c r="K189" s="24" t="n"/>
      <c r="L189" s="24">
        <f>IF($H189="","",ROUND($H189*$J189-N($K189),2))</f>
        <v/>
      </c>
      <c r="M189" s="31" t="n"/>
      <c r="N189" s="24">
        <f>IF(OR($L189="",$M189=""),"",ROUND($L189-$L189/(1+$M189/100),2))</f>
        <v/>
      </c>
      <c r="O189" s="9" t="n"/>
      <c r="P189" s="9" t="n"/>
      <c r="Q189" s="9" t="n"/>
      <c r="R189" s="9" t="n"/>
      <c r="S189" s="9" t="n"/>
    </row>
    <row r="190">
      <c r="A190" s="9" t="n"/>
      <c r="B190" s="9" t="n"/>
      <c r="C190" s="30" t="n"/>
      <c r="D190" s="9">
        <f>IF($C190="","",YEAR($C190)&amp;"-"&amp;TEXT(MONTH($C190),"00"))</f>
        <v/>
      </c>
      <c r="E190" s="9" t="n"/>
      <c r="F190" s="9" t="n"/>
      <c r="G190" s="9" t="n"/>
      <c r="H190" s="24" t="n"/>
      <c r="I190" s="9" t="n"/>
      <c r="J190" s="24" t="n"/>
      <c r="K190" s="24" t="n"/>
      <c r="L190" s="24">
        <f>IF($H190="","",ROUND($H190*$J190-N($K190),2))</f>
        <v/>
      </c>
      <c r="M190" s="31" t="n"/>
      <c r="N190" s="24">
        <f>IF(OR($L190="",$M190=""),"",ROUND($L190-$L190/(1+$M190/100),2))</f>
        <v/>
      </c>
      <c r="O190" s="9" t="n"/>
      <c r="P190" s="9" t="n"/>
      <c r="Q190" s="9" t="n"/>
      <c r="R190" s="9" t="n"/>
      <c r="S190" s="9" t="n"/>
    </row>
    <row r="191">
      <c r="A191" s="9" t="n"/>
      <c r="B191" s="9" t="n"/>
      <c r="C191" s="30" t="n"/>
      <c r="D191" s="9">
        <f>IF($C191="","",YEAR($C191)&amp;"-"&amp;TEXT(MONTH($C191),"00"))</f>
        <v/>
      </c>
      <c r="E191" s="9" t="n"/>
      <c r="F191" s="9" t="n"/>
      <c r="G191" s="9" t="n"/>
      <c r="H191" s="24" t="n"/>
      <c r="I191" s="9" t="n"/>
      <c r="J191" s="24" t="n"/>
      <c r="K191" s="24" t="n"/>
      <c r="L191" s="24">
        <f>IF($H191="","",ROUND($H191*$J191-N($K191),2))</f>
        <v/>
      </c>
      <c r="M191" s="31" t="n"/>
      <c r="N191" s="24">
        <f>IF(OR($L191="",$M191=""),"",ROUND($L191-$L191/(1+$M191/100),2))</f>
        <v/>
      </c>
      <c r="O191" s="9" t="n"/>
      <c r="P191" s="9" t="n"/>
      <c r="Q191" s="9" t="n"/>
      <c r="R191" s="9" t="n"/>
      <c r="S191" s="9" t="n"/>
    </row>
    <row r="192">
      <c r="A192" s="9" t="n"/>
      <c r="B192" s="9" t="n"/>
      <c r="C192" s="30" t="n"/>
      <c r="D192" s="9">
        <f>IF($C192="","",YEAR($C192)&amp;"-"&amp;TEXT(MONTH($C192),"00"))</f>
        <v/>
      </c>
      <c r="E192" s="9" t="n"/>
      <c r="F192" s="9" t="n"/>
      <c r="G192" s="9" t="n"/>
      <c r="H192" s="24" t="n"/>
      <c r="I192" s="9" t="n"/>
      <c r="J192" s="24" t="n"/>
      <c r="K192" s="24" t="n"/>
      <c r="L192" s="24">
        <f>IF($H192="","",ROUND($H192*$J192-N($K192),2))</f>
        <v/>
      </c>
      <c r="M192" s="31" t="n"/>
      <c r="N192" s="24">
        <f>IF(OR($L192="",$M192=""),"",ROUND($L192-$L192/(1+$M192/100),2))</f>
        <v/>
      </c>
      <c r="O192" s="9" t="n"/>
      <c r="P192" s="9" t="n"/>
      <c r="Q192" s="9" t="n"/>
      <c r="R192" s="9" t="n"/>
      <c r="S192" s="9" t="n"/>
    </row>
    <row r="193">
      <c r="A193" s="9" t="n"/>
      <c r="B193" s="9" t="n"/>
      <c r="C193" s="30" t="n"/>
      <c r="D193" s="9">
        <f>IF($C193="","",YEAR($C193)&amp;"-"&amp;TEXT(MONTH($C193),"00"))</f>
        <v/>
      </c>
      <c r="E193" s="9" t="n"/>
      <c r="F193" s="9" t="n"/>
      <c r="G193" s="9" t="n"/>
      <c r="H193" s="24" t="n"/>
      <c r="I193" s="9" t="n"/>
      <c r="J193" s="24" t="n"/>
      <c r="K193" s="24" t="n"/>
      <c r="L193" s="24">
        <f>IF($H193="","",ROUND($H193*$J193-N($K193),2))</f>
        <v/>
      </c>
      <c r="M193" s="31" t="n"/>
      <c r="N193" s="24">
        <f>IF(OR($L193="",$M193=""),"",ROUND($L193-$L193/(1+$M193/100),2))</f>
        <v/>
      </c>
      <c r="O193" s="9" t="n"/>
      <c r="P193" s="9" t="n"/>
      <c r="Q193" s="9" t="n"/>
      <c r="R193" s="9" t="n"/>
      <c r="S193" s="9" t="n"/>
    </row>
    <row r="194">
      <c r="A194" s="9" t="n"/>
      <c r="B194" s="9" t="n"/>
      <c r="C194" s="30" t="n"/>
      <c r="D194" s="9">
        <f>IF($C194="","",YEAR($C194)&amp;"-"&amp;TEXT(MONTH($C194),"00"))</f>
        <v/>
      </c>
      <c r="E194" s="9" t="n"/>
      <c r="F194" s="9" t="n"/>
      <c r="G194" s="9" t="n"/>
      <c r="H194" s="24" t="n"/>
      <c r="I194" s="9" t="n"/>
      <c r="J194" s="24" t="n"/>
      <c r="K194" s="24" t="n"/>
      <c r="L194" s="24">
        <f>IF($H194="","",ROUND($H194*$J194-N($K194),2))</f>
        <v/>
      </c>
      <c r="M194" s="31" t="n"/>
      <c r="N194" s="24">
        <f>IF(OR($L194="",$M194=""),"",ROUND($L194-$L194/(1+$M194/100),2))</f>
        <v/>
      </c>
      <c r="O194" s="9" t="n"/>
      <c r="P194" s="9" t="n"/>
      <c r="Q194" s="9" t="n"/>
      <c r="R194" s="9" t="n"/>
      <c r="S194" s="9" t="n"/>
    </row>
    <row r="195">
      <c r="A195" s="9" t="n"/>
      <c r="B195" s="9" t="n"/>
      <c r="C195" s="30" t="n"/>
      <c r="D195" s="9">
        <f>IF($C195="","",YEAR($C195)&amp;"-"&amp;TEXT(MONTH($C195),"00"))</f>
        <v/>
      </c>
      <c r="E195" s="9" t="n"/>
      <c r="F195" s="9" t="n"/>
      <c r="G195" s="9" t="n"/>
      <c r="H195" s="24" t="n"/>
      <c r="I195" s="9" t="n"/>
      <c r="J195" s="24" t="n"/>
      <c r="K195" s="24" t="n"/>
      <c r="L195" s="24">
        <f>IF($H195="","",ROUND($H195*$J195-N($K195),2))</f>
        <v/>
      </c>
      <c r="M195" s="31" t="n"/>
      <c r="N195" s="24">
        <f>IF(OR($L195="",$M195=""),"",ROUND($L195-$L195/(1+$M195/100),2))</f>
        <v/>
      </c>
      <c r="O195" s="9" t="n"/>
      <c r="P195" s="9" t="n"/>
      <c r="Q195" s="9" t="n"/>
      <c r="R195" s="9" t="n"/>
      <c r="S195" s="9" t="n"/>
    </row>
    <row r="196">
      <c r="A196" s="9" t="n"/>
      <c r="B196" s="9" t="n"/>
      <c r="C196" s="30" t="n"/>
      <c r="D196" s="9">
        <f>IF($C196="","",YEAR($C196)&amp;"-"&amp;TEXT(MONTH($C196),"00"))</f>
        <v/>
      </c>
      <c r="E196" s="9" t="n"/>
      <c r="F196" s="9" t="n"/>
      <c r="G196" s="9" t="n"/>
      <c r="H196" s="24" t="n"/>
      <c r="I196" s="9" t="n"/>
      <c r="J196" s="24" t="n"/>
      <c r="K196" s="24" t="n"/>
      <c r="L196" s="24">
        <f>IF($H196="","",ROUND($H196*$J196-N($K196),2))</f>
        <v/>
      </c>
      <c r="M196" s="31" t="n"/>
      <c r="N196" s="24">
        <f>IF(OR($L196="",$M196=""),"",ROUND($L196-$L196/(1+$M196/100),2))</f>
        <v/>
      </c>
      <c r="O196" s="9" t="n"/>
      <c r="P196" s="9" t="n"/>
      <c r="Q196" s="9" t="n"/>
      <c r="R196" s="9" t="n"/>
      <c r="S196" s="9" t="n"/>
    </row>
    <row r="197">
      <c r="A197" s="9" t="n"/>
      <c r="B197" s="9" t="n"/>
      <c r="C197" s="30" t="n"/>
      <c r="D197" s="9">
        <f>IF($C197="","",YEAR($C197)&amp;"-"&amp;TEXT(MONTH($C197),"00"))</f>
        <v/>
      </c>
      <c r="E197" s="9" t="n"/>
      <c r="F197" s="9" t="n"/>
      <c r="G197" s="9" t="n"/>
      <c r="H197" s="24" t="n"/>
      <c r="I197" s="9" t="n"/>
      <c r="J197" s="24" t="n"/>
      <c r="K197" s="24" t="n"/>
      <c r="L197" s="24">
        <f>IF($H197="","",ROUND($H197*$J197-N($K197),2))</f>
        <v/>
      </c>
      <c r="M197" s="31" t="n"/>
      <c r="N197" s="24">
        <f>IF(OR($L197="",$M197=""),"",ROUND($L197-$L197/(1+$M197/100),2))</f>
        <v/>
      </c>
      <c r="O197" s="9" t="n"/>
      <c r="P197" s="9" t="n"/>
      <c r="Q197" s="9" t="n"/>
      <c r="R197" s="9" t="n"/>
      <c r="S197" s="9" t="n"/>
    </row>
    <row r="198">
      <c r="A198" s="9" t="n"/>
      <c r="B198" s="9" t="n"/>
      <c r="C198" s="30" t="n"/>
      <c r="D198" s="9">
        <f>IF($C198="","",YEAR($C198)&amp;"-"&amp;TEXT(MONTH($C198),"00"))</f>
        <v/>
      </c>
      <c r="E198" s="9" t="n"/>
      <c r="F198" s="9" t="n"/>
      <c r="G198" s="9" t="n"/>
      <c r="H198" s="24" t="n"/>
      <c r="I198" s="9" t="n"/>
      <c r="J198" s="24" t="n"/>
      <c r="K198" s="24" t="n"/>
      <c r="L198" s="24">
        <f>IF($H198="","",ROUND($H198*$J198-N($K198),2))</f>
        <v/>
      </c>
      <c r="M198" s="31" t="n"/>
      <c r="N198" s="24">
        <f>IF(OR($L198="",$M198=""),"",ROUND($L198-$L198/(1+$M198/100),2))</f>
        <v/>
      </c>
      <c r="O198" s="9" t="n"/>
      <c r="P198" s="9" t="n"/>
      <c r="Q198" s="9" t="n"/>
      <c r="R198" s="9" t="n"/>
      <c r="S198" s="9" t="n"/>
    </row>
    <row r="199">
      <c r="A199" s="9" t="n"/>
      <c r="B199" s="9" t="n"/>
      <c r="C199" s="30" t="n"/>
      <c r="D199" s="9">
        <f>IF($C199="","",YEAR($C199)&amp;"-"&amp;TEXT(MONTH($C199),"00"))</f>
        <v/>
      </c>
      <c r="E199" s="9" t="n"/>
      <c r="F199" s="9" t="n"/>
      <c r="G199" s="9" t="n"/>
      <c r="H199" s="24" t="n"/>
      <c r="I199" s="9" t="n"/>
      <c r="J199" s="24" t="n"/>
      <c r="K199" s="24" t="n"/>
      <c r="L199" s="24">
        <f>IF($H199="","",ROUND($H199*$J199-N($K199),2))</f>
        <v/>
      </c>
      <c r="M199" s="31" t="n"/>
      <c r="N199" s="24">
        <f>IF(OR($L199="",$M199=""),"",ROUND($L199-$L199/(1+$M199/100),2))</f>
        <v/>
      </c>
      <c r="O199" s="9" t="n"/>
      <c r="P199" s="9" t="n"/>
      <c r="Q199" s="9" t="n"/>
      <c r="R199" s="9" t="n"/>
      <c r="S199" s="9" t="n"/>
    </row>
    <row r="200">
      <c r="A200" s="9" t="n"/>
      <c r="B200" s="9" t="n"/>
      <c r="C200" s="30" t="n"/>
      <c r="D200" s="9">
        <f>IF($C200="","",YEAR($C200)&amp;"-"&amp;TEXT(MONTH($C200),"00"))</f>
        <v/>
      </c>
      <c r="E200" s="9" t="n"/>
      <c r="F200" s="9" t="n"/>
      <c r="G200" s="9" t="n"/>
      <c r="H200" s="24" t="n"/>
      <c r="I200" s="9" t="n"/>
      <c r="J200" s="24" t="n"/>
      <c r="K200" s="24" t="n"/>
      <c r="L200" s="24">
        <f>IF($H200="","",ROUND($H200*$J200-N($K200),2))</f>
        <v/>
      </c>
      <c r="M200" s="31" t="n"/>
      <c r="N200" s="24">
        <f>IF(OR($L200="",$M200=""),"",ROUND($L200-$L200/(1+$M200/100),2))</f>
        <v/>
      </c>
      <c r="O200" s="9" t="n"/>
      <c r="P200" s="9" t="n"/>
      <c r="Q200" s="9" t="n"/>
      <c r="R200" s="9" t="n"/>
      <c r="S200" s="9" t="n"/>
    </row>
    <row r="201">
      <c r="A201" s="9" t="n"/>
      <c r="B201" s="9" t="n"/>
      <c r="C201" s="30" t="n"/>
      <c r="D201" s="9">
        <f>IF($C201="","",YEAR($C201)&amp;"-"&amp;TEXT(MONTH($C201),"00"))</f>
        <v/>
      </c>
      <c r="E201" s="9" t="n"/>
      <c r="F201" s="9" t="n"/>
      <c r="G201" s="9" t="n"/>
      <c r="H201" s="24" t="n"/>
      <c r="I201" s="9" t="n"/>
      <c r="J201" s="24" t="n"/>
      <c r="K201" s="24" t="n"/>
      <c r="L201" s="24">
        <f>IF($H201="","",ROUND($H201*$J201-N($K201),2))</f>
        <v/>
      </c>
      <c r="M201" s="31" t="n"/>
      <c r="N201" s="24">
        <f>IF(OR($L201="",$M201=""),"",ROUND($L201-$L201/(1+$M201/100),2))</f>
        <v/>
      </c>
      <c r="O201" s="9" t="n"/>
      <c r="P201" s="9" t="n"/>
      <c r="Q201" s="9" t="n"/>
      <c r="R201" s="9" t="n"/>
      <c r="S201" s="9" t="n"/>
    </row>
    <row r="202">
      <c r="A202" s="9" t="n"/>
      <c r="B202" s="9" t="n"/>
      <c r="C202" s="30" t="n"/>
      <c r="D202" s="9">
        <f>IF($C202="","",YEAR($C202)&amp;"-"&amp;TEXT(MONTH($C202),"00"))</f>
        <v/>
      </c>
      <c r="E202" s="9" t="n"/>
      <c r="F202" s="9" t="n"/>
      <c r="G202" s="9" t="n"/>
      <c r="H202" s="24" t="n"/>
      <c r="I202" s="9" t="n"/>
      <c r="J202" s="24" t="n"/>
      <c r="K202" s="24" t="n"/>
      <c r="L202" s="24">
        <f>IF($H202="","",ROUND($H202*$J202-N($K202),2))</f>
        <v/>
      </c>
      <c r="M202" s="31" t="n"/>
      <c r="N202" s="24">
        <f>IF(OR($L202="",$M202=""),"",ROUND($L202-$L202/(1+$M202/100),2))</f>
        <v/>
      </c>
      <c r="O202" s="9" t="n"/>
      <c r="P202" s="9" t="n"/>
      <c r="Q202" s="9" t="n"/>
      <c r="R202" s="9" t="n"/>
      <c r="S202" s="9" t="n"/>
    </row>
    <row r="203">
      <c r="A203" s="9" t="n"/>
      <c r="B203" s="9" t="n"/>
      <c r="C203" s="30" t="n"/>
      <c r="D203" s="9">
        <f>IF($C203="","",YEAR($C203)&amp;"-"&amp;TEXT(MONTH($C203),"00"))</f>
        <v/>
      </c>
      <c r="E203" s="9" t="n"/>
      <c r="F203" s="9" t="n"/>
      <c r="G203" s="9" t="n"/>
      <c r="H203" s="24" t="n"/>
      <c r="I203" s="9" t="n"/>
      <c r="J203" s="24" t="n"/>
      <c r="K203" s="24" t="n"/>
      <c r="L203" s="24">
        <f>IF($H203="","",ROUND($H203*$J203-N($K203),2))</f>
        <v/>
      </c>
      <c r="M203" s="31" t="n"/>
      <c r="N203" s="24">
        <f>IF(OR($L203="",$M203=""),"",ROUND($L203-$L203/(1+$M203/100),2))</f>
        <v/>
      </c>
      <c r="O203" s="9" t="n"/>
      <c r="P203" s="9" t="n"/>
      <c r="Q203" s="9" t="n"/>
      <c r="R203" s="9" t="n"/>
      <c r="S203" s="9" t="n"/>
    </row>
    <row r="204">
      <c r="A204" s="9" t="n"/>
      <c r="B204" s="9" t="n"/>
      <c r="C204" s="30" t="n"/>
      <c r="D204" s="9">
        <f>IF($C204="","",YEAR($C204)&amp;"-"&amp;TEXT(MONTH($C204),"00"))</f>
        <v/>
      </c>
      <c r="E204" s="9" t="n"/>
      <c r="F204" s="9" t="n"/>
      <c r="G204" s="9" t="n"/>
      <c r="H204" s="24" t="n"/>
      <c r="I204" s="9" t="n"/>
      <c r="J204" s="24" t="n"/>
      <c r="K204" s="24" t="n"/>
      <c r="L204" s="24">
        <f>IF($H204="","",ROUND($H204*$J204-N($K204),2))</f>
        <v/>
      </c>
      <c r="M204" s="31" t="n"/>
      <c r="N204" s="24">
        <f>IF(OR($L204="",$M204=""),"",ROUND($L204-$L204/(1+$M204/100),2))</f>
        <v/>
      </c>
      <c r="O204" s="9" t="n"/>
      <c r="P204" s="9" t="n"/>
      <c r="Q204" s="9" t="n"/>
      <c r="R204" s="9" t="n"/>
      <c r="S204" s="9" t="n"/>
    </row>
    <row r="205">
      <c r="A205" s="9" t="n"/>
      <c r="B205" s="9" t="n"/>
      <c r="C205" s="30" t="n"/>
      <c r="D205" s="9">
        <f>IF($C205="","",YEAR($C205)&amp;"-"&amp;TEXT(MONTH($C205),"00"))</f>
        <v/>
      </c>
      <c r="E205" s="9" t="n"/>
      <c r="F205" s="9" t="n"/>
      <c r="G205" s="9" t="n"/>
      <c r="H205" s="24" t="n"/>
      <c r="I205" s="9" t="n"/>
      <c r="J205" s="24" t="n"/>
      <c r="K205" s="24" t="n"/>
      <c r="L205" s="24">
        <f>IF($H205="","",ROUND($H205*$J205-N($K205),2))</f>
        <v/>
      </c>
      <c r="M205" s="31" t="n"/>
      <c r="N205" s="24">
        <f>IF(OR($L205="",$M205=""),"",ROUND($L205-$L205/(1+$M205/100),2))</f>
        <v/>
      </c>
      <c r="O205" s="9" t="n"/>
      <c r="P205" s="9" t="n"/>
      <c r="Q205" s="9" t="n"/>
      <c r="R205" s="9" t="n"/>
      <c r="S205" s="9" t="n"/>
    </row>
    <row r="206">
      <c r="A206" s="9" t="n"/>
      <c r="B206" s="9" t="n"/>
      <c r="C206" s="30" t="n"/>
      <c r="D206" s="9">
        <f>IF($C206="","",YEAR($C206)&amp;"-"&amp;TEXT(MONTH($C206),"00"))</f>
        <v/>
      </c>
      <c r="E206" s="9" t="n"/>
      <c r="F206" s="9" t="n"/>
      <c r="G206" s="9" t="n"/>
      <c r="H206" s="24" t="n"/>
      <c r="I206" s="9" t="n"/>
      <c r="J206" s="24" t="n"/>
      <c r="K206" s="24" t="n"/>
      <c r="L206" s="24">
        <f>IF($H206="","",ROUND($H206*$J206-N($K206),2))</f>
        <v/>
      </c>
      <c r="M206" s="31" t="n"/>
      <c r="N206" s="24">
        <f>IF(OR($L206="",$M206=""),"",ROUND($L206-$L206/(1+$M206/100),2))</f>
        <v/>
      </c>
      <c r="O206" s="9" t="n"/>
      <c r="P206" s="9" t="n"/>
      <c r="Q206" s="9" t="n"/>
      <c r="R206" s="9" t="n"/>
      <c r="S206" s="9" t="n"/>
    </row>
    <row r="207">
      <c r="A207" s="9" t="n"/>
      <c r="B207" s="9" t="n"/>
      <c r="C207" s="30" t="n"/>
      <c r="D207" s="9">
        <f>IF($C207="","",YEAR($C207)&amp;"-"&amp;TEXT(MONTH($C207),"00"))</f>
        <v/>
      </c>
      <c r="E207" s="9" t="n"/>
      <c r="F207" s="9" t="n"/>
      <c r="G207" s="9" t="n"/>
      <c r="H207" s="24" t="n"/>
      <c r="I207" s="9" t="n"/>
      <c r="J207" s="24" t="n"/>
      <c r="K207" s="24" t="n"/>
      <c r="L207" s="24">
        <f>IF($H207="","",ROUND($H207*$J207-N($K207),2))</f>
        <v/>
      </c>
      <c r="M207" s="31" t="n"/>
      <c r="N207" s="24">
        <f>IF(OR($L207="",$M207=""),"",ROUND($L207-$L207/(1+$M207/100),2))</f>
        <v/>
      </c>
      <c r="O207" s="9" t="n"/>
      <c r="P207" s="9" t="n"/>
      <c r="Q207" s="9" t="n"/>
      <c r="R207" s="9" t="n"/>
      <c r="S207" s="9" t="n"/>
    </row>
    <row r="208">
      <c r="A208" s="9" t="n"/>
      <c r="B208" s="9" t="n"/>
      <c r="C208" s="30" t="n"/>
      <c r="D208" s="9">
        <f>IF($C208="","",YEAR($C208)&amp;"-"&amp;TEXT(MONTH($C208),"00"))</f>
        <v/>
      </c>
      <c r="E208" s="9" t="n"/>
      <c r="F208" s="9" t="n"/>
      <c r="G208" s="9" t="n"/>
      <c r="H208" s="24" t="n"/>
      <c r="I208" s="9" t="n"/>
      <c r="J208" s="24" t="n"/>
      <c r="K208" s="24" t="n"/>
      <c r="L208" s="24">
        <f>IF($H208="","",ROUND($H208*$J208-N($K208),2))</f>
        <v/>
      </c>
      <c r="M208" s="31" t="n"/>
      <c r="N208" s="24">
        <f>IF(OR($L208="",$M208=""),"",ROUND($L208-$L208/(1+$M208/100),2))</f>
        <v/>
      </c>
      <c r="O208" s="9" t="n"/>
      <c r="P208" s="9" t="n"/>
      <c r="Q208" s="9" t="n"/>
      <c r="R208" s="9" t="n"/>
      <c r="S208" s="9" t="n"/>
    </row>
    <row r="209">
      <c r="A209" s="9" t="n"/>
      <c r="B209" s="9" t="n"/>
      <c r="C209" s="30" t="n"/>
      <c r="D209" s="9">
        <f>IF($C209="","",YEAR($C209)&amp;"-"&amp;TEXT(MONTH($C209),"00"))</f>
        <v/>
      </c>
      <c r="E209" s="9" t="n"/>
      <c r="F209" s="9" t="n"/>
      <c r="G209" s="9" t="n"/>
      <c r="H209" s="24" t="n"/>
      <c r="I209" s="9" t="n"/>
      <c r="J209" s="24" t="n"/>
      <c r="K209" s="24" t="n"/>
      <c r="L209" s="24">
        <f>IF($H209="","",ROUND($H209*$J209-N($K209),2))</f>
        <v/>
      </c>
      <c r="M209" s="31" t="n"/>
      <c r="N209" s="24">
        <f>IF(OR($L209="",$M209=""),"",ROUND($L209-$L209/(1+$M209/100),2))</f>
        <v/>
      </c>
      <c r="O209" s="9" t="n"/>
      <c r="P209" s="9" t="n"/>
      <c r="Q209" s="9" t="n"/>
      <c r="R209" s="9" t="n"/>
      <c r="S209" s="9" t="n"/>
    </row>
    <row r="210">
      <c r="A210" s="9" t="n"/>
      <c r="B210" s="9" t="n"/>
      <c r="C210" s="30" t="n"/>
      <c r="D210" s="9">
        <f>IF($C210="","",YEAR($C210)&amp;"-"&amp;TEXT(MONTH($C210),"00"))</f>
        <v/>
      </c>
      <c r="E210" s="9" t="n"/>
      <c r="F210" s="9" t="n"/>
      <c r="G210" s="9" t="n"/>
      <c r="H210" s="24" t="n"/>
      <c r="I210" s="9" t="n"/>
      <c r="J210" s="24" t="n"/>
      <c r="K210" s="24" t="n"/>
      <c r="L210" s="24">
        <f>IF($H210="","",ROUND($H210*$J210-N($K210),2))</f>
        <v/>
      </c>
      <c r="M210" s="31" t="n"/>
      <c r="N210" s="24">
        <f>IF(OR($L210="",$M210=""),"",ROUND($L210-$L210/(1+$M210/100),2))</f>
        <v/>
      </c>
      <c r="O210" s="9" t="n"/>
      <c r="P210" s="9" t="n"/>
      <c r="Q210" s="9" t="n"/>
      <c r="R210" s="9" t="n"/>
      <c r="S210" s="9" t="n"/>
    </row>
    <row r="211">
      <c r="A211" s="9" t="n"/>
      <c r="B211" s="9" t="n"/>
      <c r="C211" s="30" t="n"/>
      <c r="D211" s="9">
        <f>IF($C211="","",YEAR($C211)&amp;"-"&amp;TEXT(MONTH($C211),"00"))</f>
        <v/>
      </c>
      <c r="E211" s="9" t="n"/>
      <c r="F211" s="9" t="n"/>
      <c r="G211" s="9" t="n"/>
      <c r="H211" s="24" t="n"/>
      <c r="I211" s="9" t="n"/>
      <c r="J211" s="24" t="n"/>
      <c r="K211" s="24" t="n"/>
      <c r="L211" s="24">
        <f>IF($H211="","",ROUND($H211*$J211-N($K211),2))</f>
        <v/>
      </c>
      <c r="M211" s="31" t="n"/>
      <c r="N211" s="24">
        <f>IF(OR($L211="",$M211=""),"",ROUND($L211-$L211/(1+$M211/100),2))</f>
        <v/>
      </c>
      <c r="O211" s="9" t="n"/>
      <c r="P211" s="9" t="n"/>
      <c r="Q211" s="9" t="n"/>
      <c r="R211" s="9" t="n"/>
      <c r="S211" s="9" t="n"/>
    </row>
    <row r="212">
      <c r="A212" s="9" t="n"/>
      <c r="B212" s="9" t="n"/>
      <c r="C212" s="30" t="n"/>
      <c r="D212" s="9">
        <f>IF($C212="","",YEAR($C212)&amp;"-"&amp;TEXT(MONTH($C212),"00"))</f>
        <v/>
      </c>
      <c r="E212" s="9" t="n"/>
      <c r="F212" s="9" t="n"/>
      <c r="G212" s="9" t="n"/>
      <c r="H212" s="24" t="n"/>
      <c r="I212" s="9" t="n"/>
      <c r="J212" s="24" t="n"/>
      <c r="K212" s="24" t="n"/>
      <c r="L212" s="24">
        <f>IF($H212="","",ROUND($H212*$J212-N($K212),2))</f>
        <v/>
      </c>
      <c r="M212" s="31" t="n"/>
      <c r="N212" s="24">
        <f>IF(OR($L212="",$M212=""),"",ROUND($L212-$L212/(1+$M212/100),2))</f>
        <v/>
      </c>
      <c r="O212" s="9" t="n"/>
      <c r="P212" s="9" t="n"/>
      <c r="Q212" s="9" t="n"/>
      <c r="R212" s="9" t="n"/>
      <c r="S212" s="9" t="n"/>
    </row>
    <row r="213">
      <c r="A213" s="9" t="n"/>
      <c r="B213" s="9" t="n"/>
      <c r="C213" s="30" t="n"/>
      <c r="D213" s="9">
        <f>IF($C213="","",YEAR($C213)&amp;"-"&amp;TEXT(MONTH($C213),"00"))</f>
        <v/>
      </c>
      <c r="E213" s="9" t="n"/>
      <c r="F213" s="9" t="n"/>
      <c r="G213" s="9" t="n"/>
      <c r="H213" s="24" t="n"/>
      <c r="I213" s="9" t="n"/>
      <c r="J213" s="24" t="n"/>
      <c r="K213" s="24" t="n"/>
      <c r="L213" s="24">
        <f>IF($H213="","",ROUND($H213*$J213-N($K213),2))</f>
        <v/>
      </c>
      <c r="M213" s="31" t="n"/>
      <c r="N213" s="24">
        <f>IF(OR($L213="",$M213=""),"",ROUND($L213-$L213/(1+$M213/100),2))</f>
        <v/>
      </c>
      <c r="O213" s="9" t="n"/>
      <c r="P213" s="9" t="n"/>
      <c r="Q213" s="9" t="n"/>
      <c r="R213" s="9" t="n"/>
      <c r="S213" s="9" t="n"/>
    </row>
    <row r="214">
      <c r="A214" s="9" t="n"/>
      <c r="B214" s="9" t="n"/>
      <c r="C214" s="30" t="n"/>
      <c r="D214" s="9">
        <f>IF($C214="","",YEAR($C214)&amp;"-"&amp;TEXT(MONTH($C214),"00"))</f>
        <v/>
      </c>
      <c r="E214" s="9" t="n"/>
      <c r="F214" s="9" t="n"/>
      <c r="G214" s="9" t="n"/>
      <c r="H214" s="24" t="n"/>
      <c r="I214" s="9" t="n"/>
      <c r="J214" s="24" t="n"/>
      <c r="K214" s="24" t="n"/>
      <c r="L214" s="24">
        <f>IF($H214="","",ROUND($H214*$J214-N($K214),2))</f>
        <v/>
      </c>
      <c r="M214" s="31" t="n"/>
      <c r="N214" s="24">
        <f>IF(OR($L214="",$M214=""),"",ROUND($L214-$L214/(1+$M214/100),2))</f>
        <v/>
      </c>
      <c r="O214" s="9" t="n"/>
      <c r="P214" s="9" t="n"/>
      <c r="Q214" s="9" t="n"/>
      <c r="R214" s="9" t="n"/>
      <c r="S214" s="9" t="n"/>
    </row>
    <row r="215">
      <c r="A215" s="9" t="n"/>
      <c r="B215" s="9" t="n"/>
      <c r="C215" s="30" t="n"/>
      <c r="D215" s="9">
        <f>IF($C215="","",YEAR($C215)&amp;"-"&amp;TEXT(MONTH($C215),"00"))</f>
        <v/>
      </c>
      <c r="E215" s="9" t="n"/>
      <c r="F215" s="9" t="n"/>
      <c r="G215" s="9" t="n"/>
      <c r="H215" s="24" t="n"/>
      <c r="I215" s="9" t="n"/>
      <c r="J215" s="24" t="n"/>
      <c r="K215" s="24" t="n"/>
      <c r="L215" s="24">
        <f>IF($H215="","",ROUND($H215*$J215-N($K215),2))</f>
        <v/>
      </c>
      <c r="M215" s="31" t="n"/>
      <c r="N215" s="24">
        <f>IF(OR($L215="",$M215=""),"",ROUND($L215-$L215/(1+$M215/100),2))</f>
        <v/>
      </c>
      <c r="O215" s="9" t="n"/>
      <c r="P215" s="9" t="n"/>
      <c r="Q215" s="9" t="n"/>
      <c r="R215" s="9" t="n"/>
      <c r="S215" s="9" t="n"/>
    </row>
    <row r="216">
      <c r="A216" s="9" t="n"/>
      <c r="B216" s="9" t="n"/>
      <c r="C216" s="30" t="n"/>
      <c r="D216" s="9">
        <f>IF($C216="","",YEAR($C216)&amp;"-"&amp;TEXT(MONTH($C216),"00"))</f>
        <v/>
      </c>
      <c r="E216" s="9" t="n"/>
      <c r="F216" s="9" t="n"/>
      <c r="G216" s="9" t="n"/>
      <c r="H216" s="24" t="n"/>
      <c r="I216" s="9" t="n"/>
      <c r="J216" s="24" t="n"/>
      <c r="K216" s="24" t="n"/>
      <c r="L216" s="24">
        <f>IF($H216="","",ROUND($H216*$J216-N($K216),2))</f>
        <v/>
      </c>
      <c r="M216" s="31" t="n"/>
      <c r="N216" s="24">
        <f>IF(OR($L216="",$M216=""),"",ROUND($L216-$L216/(1+$M216/100),2))</f>
        <v/>
      </c>
      <c r="O216" s="9" t="n"/>
      <c r="P216" s="9" t="n"/>
      <c r="Q216" s="9" t="n"/>
      <c r="R216" s="9" t="n"/>
      <c r="S216" s="9" t="n"/>
    </row>
    <row r="217">
      <c r="A217" s="9" t="n"/>
      <c r="B217" s="9" t="n"/>
      <c r="C217" s="30" t="n"/>
      <c r="D217" s="9">
        <f>IF($C217="","",YEAR($C217)&amp;"-"&amp;TEXT(MONTH($C217),"00"))</f>
        <v/>
      </c>
      <c r="E217" s="9" t="n"/>
      <c r="F217" s="9" t="n"/>
      <c r="G217" s="9" t="n"/>
      <c r="H217" s="24" t="n"/>
      <c r="I217" s="9" t="n"/>
      <c r="J217" s="24" t="n"/>
      <c r="K217" s="24" t="n"/>
      <c r="L217" s="24">
        <f>IF($H217="","",ROUND($H217*$J217-N($K217),2))</f>
        <v/>
      </c>
      <c r="M217" s="31" t="n"/>
      <c r="N217" s="24">
        <f>IF(OR($L217="",$M217=""),"",ROUND($L217-$L217/(1+$M217/100),2))</f>
        <v/>
      </c>
      <c r="O217" s="9" t="n"/>
      <c r="P217" s="9" t="n"/>
      <c r="Q217" s="9" t="n"/>
      <c r="R217" s="9" t="n"/>
      <c r="S217" s="9" t="n"/>
    </row>
    <row r="218">
      <c r="A218" s="9" t="n"/>
      <c r="B218" s="9" t="n"/>
      <c r="C218" s="30" t="n"/>
      <c r="D218" s="9">
        <f>IF($C218="","",YEAR($C218)&amp;"-"&amp;TEXT(MONTH($C218),"00"))</f>
        <v/>
      </c>
      <c r="E218" s="9" t="n"/>
      <c r="F218" s="9" t="n"/>
      <c r="G218" s="9" t="n"/>
      <c r="H218" s="24" t="n"/>
      <c r="I218" s="9" t="n"/>
      <c r="J218" s="24" t="n"/>
      <c r="K218" s="24" t="n"/>
      <c r="L218" s="24">
        <f>IF($H218="","",ROUND($H218*$J218-N($K218),2))</f>
        <v/>
      </c>
      <c r="M218" s="31" t="n"/>
      <c r="N218" s="24">
        <f>IF(OR($L218="",$M218=""),"",ROUND($L218-$L218/(1+$M218/100),2))</f>
        <v/>
      </c>
      <c r="O218" s="9" t="n"/>
      <c r="P218" s="9" t="n"/>
      <c r="Q218" s="9" t="n"/>
      <c r="R218" s="9" t="n"/>
      <c r="S218" s="9" t="n"/>
    </row>
    <row r="219">
      <c r="A219" s="9" t="n"/>
      <c r="B219" s="9" t="n"/>
      <c r="C219" s="30" t="n"/>
      <c r="D219" s="9">
        <f>IF($C219="","",YEAR($C219)&amp;"-"&amp;TEXT(MONTH($C219),"00"))</f>
        <v/>
      </c>
      <c r="E219" s="9" t="n"/>
      <c r="F219" s="9" t="n"/>
      <c r="G219" s="9" t="n"/>
      <c r="H219" s="24" t="n"/>
      <c r="I219" s="9" t="n"/>
      <c r="J219" s="24" t="n"/>
      <c r="K219" s="24" t="n"/>
      <c r="L219" s="24">
        <f>IF($H219="","",ROUND($H219*$J219-N($K219),2))</f>
        <v/>
      </c>
      <c r="M219" s="31" t="n"/>
      <c r="N219" s="24">
        <f>IF(OR($L219="",$M219=""),"",ROUND($L219-$L219/(1+$M219/100),2))</f>
        <v/>
      </c>
      <c r="O219" s="9" t="n"/>
      <c r="P219" s="9" t="n"/>
      <c r="Q219" s="9" t="n"/>
      <c r="R219" s="9" t="n"/>
      <c r="S219" s="9" t="n"/>
    </row>
    <row r="220">
      <c r="A220" s="9" t="n"/>
      <c r="B220" s="9" t="n"/>
      <c r="C220" s="30" t="n"/>
      <c r="D220" s="9">
        <f>IF($C220="","",YEAR($C220)&amp;"-"&amp;TEXT(MONTH($C220),"00"))</f>
        <v/>
      </c>
      <c r="E220" s="9" t="n"/>
      <c r="F220" s="9" t="n"/>
      <c r="G220" s="9" t="n"/>
      <c r="H220" s="24" t="n"/>
      <c r="I220" s="9" t="n"/>
      <c r="J220" s="24" t="n"/>
      <c r="K220" s="24" t="n"/>
      <c r="L220" s="24">
        <f>IF($H220="","",ROUND($H220*$J220-N($K220),2))</f>
        <v/>
      </c>
      <c r="M220" s="31" t="n"/>
      <c r="N220" s="24">
        <f>IF(OR($L220="",$M220=""),"",ROUND($L220-$L220/(1+$M220/100),2))</f>
        <v/>
      </c>
      <c r="O220" s="9" t="n"/>
      <c r="P220" s="9" t="n"/>
      <c r="Q220" s="9" t="n"/>
      <c r="R220" s="9" t="n"/>
      <c r="S220" s="9" t="n"/>
    </row>
    <row r="221">
      <c r="A221" s="9" t="n"/>
      <c r="B221" s="9" t="n"/>
      <c r="C221" s="30" t="n"/>
      <c r="D221" s="9">
        <f>IF($C221="","",YEAR($C221)&amp;"-"&amp;TEXT(MONTH($C221),"00"))</f>
        <v/>
      </c>
      <c r="E221" s="9" t="n"/>
      <c r="F221" s="9" t="n"/>
      <c r="G221" s="9" t="n"/>
      <c r="H221" s="24" t="n"/>
      <c r="I221" s="9" t="n"/>
      <c r="J221" s="24" t="n"/>
      <c r="K221" s="24" t="n"/>
      <c r="L221" s="24">
        <f>IF($H221="","",ROUND($H221*$J221-N($K221),2))</f>
        <v/>
      </c>
      <c r="M221" s="31" t="n"/>
      <c r="N221" s="24">
        <f>IF(OR($L221="",$M221=""),"",ROUND($L221-$L221/(1+$M221/100),2))</f>
        <v/>
      </c>
      <c r="O221" s="9" t="n"/>
      <c r="P221" s="9" t="n"/>
      <c r="Q221" s="9" t="n"/>
      <c r="R221" s="9" t="n"/>
      <c r="S221" s="9" t="n"/>
    </row>
    <row r="222">
      <c r="A222" s="9" t="n"/>
      <c r="B222" s="9" t="n"/>
      <c r="C222" s="30" t="n"/>
      <c r="D222" s="9">
        <f>IF($C222="","",YEAR($C222)&amp;"-"&amp;TEXT(MONTH($C222),"00"))</f>
        <v/>
      </c>
      <c r="E222" s="9" t="n"/>
      <c r="F222" s="9" t="n"/>
      <c r="G222" s="9" t="n"/>
      <c r="H222" s="24" t="n"/>
      <c r="I222" s="9" t="n"/>
      <c r="J222" s="24" t="n"/>
      <c r="K222" s="24" t="n"/>
      <c r="L222" s="24">
        <f>IF($H222="","",ROUND($H222*$J222-N($K222),2))</f>
        <v/>
      </c>
      <c r="M222" s="31" t="n"/>
      <c r="N222" s="24">
        <f>IF(OR($L222="",$M222=""),"",ROUND($L222-$L222/(1+$M222/100),2))</f>
        <v/>
      </c>
      <c r="O222" s="9" t="n"/>
      <c r="P222" s="9" t="n"/>
      <c r="Q222" s="9" t="n"/>
      <c r="R222" s="9" t="n"/>
      <c r="S222" s="9" t="n"/>
    </row>
    <row r="223">
      <c r="A223" s="9" t="n"/>
      <c r="B223" s="9" t="n"/>
      <c r="C223" s="30" t="n"/>
      <c r="D223" s="9">
        <f>IF($C223="","",YEAR($C223)&amp;"-"&amp;TEXT(MONTH($C223),"00"))</f>
        <v/>
      </c>
      <c r="E223" s="9" t="n"/>
      <c r="F223" s="9" t="n"/>
      <c r="G223" s="9" t="n"/>
      <c r="H223" s="24" t="n"/>
      <c r="I223" s="9" t="n"/>
      <c r="J223" s="24" t="n"/>
      <c r="K223" s="24" t="n"/>
      <c r="L223" s="24">
        <f>IF($H223="","",ROUND($H223*$J223-N($K223),2))</f>
        <v/>
      </c>
      <c r="M223" s="31" t="n"/>
      <c r="N223" s="24">
        <f>IF(OR($L223="",$M223=""),"",ROUND($L223-$L223/(1+$M223/100),2))</f>
        <v/>
      </c>
      <c r="O223" s="9" t="n"/>
      <c r="P223" s="9" t="n"/>
      <c r="Q223" s="9" t="n"/>
      <c r="R223" s="9" t="n"/>
      <c r="S223" s="9" t="n"/>
    </row>
    <row r="224">
      <c r="A224" s="9" t="n"/>
      <c r="B224" s="9" t="n"/>
      <c r="C224" s="30" t="n"/>
      <c r="D224" s="9">
        <f>IF($C224="","",YEAR($C224)&amp;"-"&amp;TEXT(MONTH($C224),"00"))</f>
        <v/>
      </c>
      <c r="E224" s="9" t="n"/>
      <c r="F224" s="9" t="n"/>
      <c r="G224" s="9" t="n"/>
      <c r="H224" s="24" t="n"/>
      <c r="I224" s="9" t="n"/>
      <c r="J224" s="24" t="n"/>
      <c r="K224" s="24" t="n"/>
      <c r="L224" s="24">
        <f>IF($H224="","",ROUND($H224*$J224-N($K224),2))</f>
        <v/>
      </c>
      <c r="M224" s="31" t="n"/>
      <c r="N224" s="24">
        <f>IF(OR($L224="",$M224=""),"",ROUND($L224-$L224/(1+$M224/100),2))</f>
        <v/>
      </c>
      <c r="O224" s="9" t="n"/>
      <c r="P224" s="9" t="n"/>
      <c r="Q224" s="9" t="n"/>
      <c r="R224" s="9" t="n"/>
      <c r="S224" s="9" t="n"/>
    </row>
    <row r="225">
      <c r="A225" s="9" t="n"/>
      <c r="B225" s="9" t="n"/>
      <c r="C225" s="30" t="n"/>
      <c r="D225" s="9">
        <f>IF($C225="","",YEAR($C225)&amp;"-"&amp;TEXT(MONTH($C225),"00"))</f>
        <v/>
      </c>
      <c r="E225" s="9" t="n"/>
      <c r="F225" s="9" t="n"/>
      <c r="G225" s="9" t="n"/>
      <c r="H225" s="24" t="n"/>
      <c r="I225" s="9" t="n"/>
      <c r="J225" s="24" t="n"/>
      <c r="K225" s="24" t="n"/>
      <c r="L225" s="24">
        <f>IF($H225="","",ROUND($H225*$J225-N($K225),2))</f>
        <v/>
      </c>
      <c r="M225" s="31" t="n"/>
      <c r="N225" s="24">
        <f>IF(OR($L225="",$M225=""),"",ROUND($L225-$L225/(1+$M225/100),2))</f>
        <v/>
      </c>
      <c r="O225" s="9" t="n"/>
      <c r="P225" s="9" t="n"/>
      <c r="Q225" s="9" t="n"/>
      <c r="R225" s="9" t="n"/>
      <c r="S225" s="9" t="n"/>
    </row>
    <row r="226">
      <c r="A226" s="9" t="n"/>
      <c r="B226" s="9" t="n"/>
      <c r="C226" s="30" t="n"/>
      <c r="D226" s="9">
        <f>IF($C226="","",YEAR($C226)&amp;"-"&amp;TEXT(MONTH($C226),"00"))</f>
        <v/>
      </c>
      <c r="E226" s="9" t="n"/>
      <c r="F226" s="9" t="n"/>
      <c r="G226" s="9" t="n"/>
      <c r="H226" s="24" t="n"/>
      <c r="I226" s="9" t="n"/>
      <c r="J226" s="24" t="n"/>
      <c r="K226" s="24" t="n"/>
      <c r="L226" s="24">
        <f>IF($H226="","",ROUND($H226*$J226-N($K226),2))</f>
        <v/>
      </c>
      <c r="M226" s="31" t="n"/>
      <c r="N226" s="24">
        <f>IF(OR($L226="",$M226=""),"",ROUND($L226-$L226/(1+$M226/100),2))</f>
        <v/>
      </c>
      <c r="O226" s="9" t="n"/>
      <c r="P226" s="9" t="n"/>
      <c r="Q226" s="9" t="n"/>
      <c r="R226" s="9" t="n"/>
      <c r="S226" s="9" t="n"/>
    </row>
    <row r="227">
      <c r="A227" s="9" t="n"/>
      <c r="B227" s="9" t="n"/>
      <c r="C227" s="30" t="n"/>
      <c r="D227" s="9">
        <f>IF($C227="","",YEAR($C227)&amp;"-"&amp;TEXT(MONTH($C227),"00"))</f>
        <v/>
      </c>
      <c r="E227" s="9" t="n"/>
      <c r="F227" s="9" t="n"/>
      <c r="G227" s="9" t="n"/>
      <c r="H227" s="24" t="n"/>
      <c r="I227" s="9" t="n"/>
      <c r="J227" s="24" t="n"/>
      <c r="K227" s="24" t="n"/>
      <c r="L227" s="24">
        <f>IF($H227="","",ROUND($H227*$J227-N($K227),2))</f>
        <v/>
      </c>
      <c r="M227" s="31" t="n"/>
      <c r="N227" s="24">
        <f>IF(OR($L227="",$M227=""),"",ROUND($L227-$L227/(1+$M227/100),2))</f>
        <v/>
      </c>
      <c r="O227" s="9" t="n"/>
      <c r="P227" s="9" t="n"/>
      <c r="Q227" s="9" t="n"/>
      <c r="R227" s="9" t="n"/>
      <c r="S227" s="9" t="n"/>
    </row>
    <row r="228">
      <c r="A228" s="9" t="n"/>
      <c r="B228" s="9" t="n"/>
      <c r="C228" s="30" t="n"/>
      <c r="D228" s="9">
        <f>IF($C228="","",YEAR($C228)&amp;"-"&amp;TEXT(MONTH($C228),"00"))</f>
        <v/>
      </c>
      <c r="E228" s="9" t="n"/>
      <c r="F228" s="9" t="n"/>
      <c r="G228" s="9" t="n"/>
      <c r="H228" s="24" t="n"/>
      <c r="I228" s="9" t="n"/>
      <c r="J228" s="24" t="n"/>
      <c r="K228" s="24" t="n"/>
      <c r="L228" s="24">
        <f>IF($H228="","",ROUND($H228*$J228-N($K228),2))</f>
        <v/>
      </c>
      <c r="M228" s="31" t="n"/>
      <c r="N228" s="24">
        <f>IF(OR($L228="",$M228=""),"",ROUND($L228-$L228/(1+$M228/100),2))</f>
        <v/>
      </c>
      <c r="O228" s="9" t="n"/>
      <c r="P228" s="9" t="n"/>
      <c r="Q228" s="9" t="n"/>
      <c r="R228" s="9" t="n"/>
      <c r="S228" s="9" t="n"/>
    </row>
    <row r="229">
      <c r="A229" s="9" t="n"/>
      <c r="B229" s="9" t="n"/>
      <c r="C229" s="30" t="n"/>
      <c r="D229" s="9">
        <f>IF($C229="","",YEAR($C229)&amp;"-"&amp;TEXT(MONTH($C229),"00"))</f>
        <v/>
      </c>
      <c r="E229" s="9" t="n"/>
      <c r="F229" s="9" t="n"/>
      <c r="G229" s="9" t="n"/>
      <c r="H229" s="24" t="n"/>
      <c r="I229" s="9" t="n"/>
      <c r="J229" s="24" t="n"/>
      <c r="K229" s="24" t="n"/>
      <c r="L229" s="24">
        <f>IF($H229="","",ROUND($H229*$J229-N($K229),2))</f>
        <v/>
      </c>
      <c r="M229" s="31" t="n"/>
      <c r="N229" s="24">
        <f>IF(OR($L229="",$M229=""),"",ROUND($L229-$L229/(1+$M229/100),2))</f>
        <v/>
      </c>
      <c r="O229" s="9" t="n"/>
      <c r="P229" s="9" t="n"/>
      <c r="Q229" s="9" t="n"/>
      <c r="R229" s="9" t="n"/>
      <c r="S229" s="9" t="n"/>
    </row>
    <row r="230">
      <c r="A230" s="9" t="n"/>
      <c r="B230" s="9" t="n"/>
      <c r="C230" s="30" t="n"/>
      <c r="D230" s="9">
        <f>IF($C230="","",YEAR($C230)&amp;"-"&amp;TEXT(MONTH($C230),"00"))</f>
        <v/>
      </c>
      <c r="E230" s="9" t="n"/>
      <c r="F230" s="9" t="n"/>
      <c r="G230" s="9" t="n"/>
      <c r="H230" s="24" t="n"/>
      <c r="I230" s="9" t="n"/>
      <c r="J230" s="24" t="n"/>
      <c r="K230" s="24" t="n"/>
      <c r="L230" s="24">
        <f>IF($H230="","",ROUND($H230*$J230-N($K230),2))</f>
        <v/>
      </c>
      <c r="M230" s="31" t="n"/>
      <c r="N230" s="24">
        <f>IF(OR($L230="",$M230=""),"",ROUND($L230-$L230/(1+$M230/100),2))</f>
        <v/>
      </c>
      <c r="O230" s="9" t="n"/>
      <c r="P230" s="9" t="n"/>
      <c r="Q230" s="9" t="n"/>
      <c r="R230" s="9" t="n"/>
      <c r="S230" s="9" t="n"/>
    </row>
    <row r="231">
      <c r="A231" s="9" t="n"/>
      <c r="B231" s="9" t="n"/>
      <c r="C231" s="30" t="n"/>
      <c r="D231" s="9">
        <f>IF($C231="","",YEAR($C231)&amp;"-"&amp;TEXT(MONTH($C231),"00"))</f>
        <v/>
      </c>
      <c r="E231" s="9" t="n"/>
      <c r="F231" s="9" t="n"/>
      <c r="G231" s="9" t="n"/>
      <c r="H231" s="24" t="n"/>
      <c r="I231" s="9" t="n"/>
      <c r="J231" s="24" t="n"/>
      <c r="K231" s="24" t="n"/>
      <c r="L231" s="24">
        <f>IF($H231="","",ROUND($H231*$J231-N($K231),2))</f>
        <v/>
      </c>
      <c r="M231" s="31" t="n"/>
      <c r="N231" s="24">
        <f>IF(OR($L231="",$M231=""),"",ROUND($L231-$L231/(1+$M231/100),2))</f>
        <v/>
      </c>
      <c r="O231" s="9" t="n"/>
      <c r="P231" s="9" t="n"/>
      <c r="Q231" s="9" t="n"/>
      <c r="R231" s="9" t="n"/>
      <c r="S231" s="9" t="n"/>
    </row>
    <row r="232">
      <c r="A232" s="9" t="n"/>
      <c r="B232" s="9" t="n"/>
      <c r="C232" s="30" t="n"/>
      <c r="D232" s="9">
        <f>IF($C232="","",YEAR($C232)&amp;"-"&amp;TEXT(MONTH($C232),"00"))</f>
        <v/>
      </c>
      <c r="E232" s="9" t="n"/>
      <c r="F232" s="9" t="n"/>
      <c r="G232" s="9" t="n"/>
      <c r="H232" s="24" t="n"/>
      <c r="I232" s="9" t="n"/>
      <c r="J232" s="24" t="n"/>
      <c r="K232" s="24" t="n"/>
      <c r="L232" s="24">
        <f>IF($H232="","",ROUND($H232*$J232-N($K232),2))</f>
        <v/>
      </c>
      <c r="M232" s="31" t="n"/>
      <c r="N232" s="24">
        <f>IF(OR($L232="",$M232=""),"",ROUND($L232-$L232/(1+$M232/100),2))</f>
        <v/>
      </c>
      <c r="O232" s="9" t="n"/>
      <c r="P232" s="9" t="n"/>
      <c r="Q232" s="9" t="n"/>
      <c r="R232" s="9" t="n"/>
      <c r="S232" s="9" t="n"/>
    </row>
    <row r="233">
      <c r="A233" s="9" t="n"/>
      <c r="B233" s="9" t="n"/>
      <c r="C233" s="30" t="n"/>
      <c r="D233" s="9">
        <f>IF($C233="","",YEAR($C233)&amp;"-"&amp;TEXT(MONTH($C233),"00"))</f>
        <v/>
      </c>
      <c r="E233" s="9" t="n"/>
      <c r="F233" s="9" t="n"/>
      <c r="G233" s="9" t="n"/>
      <c r="H233" s="24" t="n"/>
      <c r="I233" s="9" t="n"/>
      <c r="J233" s="24" t="n"/>
      <c r="K233" s="24" t="n"/>
      <c r="L233" s="24">
        <f>IF($H233="","",ROUND($H233*$J233-N($K233),2))</f>
        <v/>
      </c>
      <c r="M233" s="31" t="n"/>
      <c r="N233" s="24">
        <f>IF(OR($L233="",$M233=""),"",ROUND($L233-$L233/(1+$M233/100),2))</f>
        <v/>
      </c>
      <c r="O233" s="9" t="n"/>
      <c r="P233" s="9" t="n"/>
      <c r="Q233" s="9" t="n"/>
      <c r="R233" s="9" t="n"/>
      <c r="S233" s="9" t="n"/>
    </row>
    <row r="234">
      <c r="A234" s="9" t="n"/>
      <c r="B234" s="9" t="n"/>
      <c r="C234" s="30" t="n"/>
      <c r="D234" s="9">
        <f>IF($C234="","",YEAR($C234)&amp;"-"&amp;TEXT(MONTH($C234),"00"))</f>
        <v/>
      </c>
      <c r="E234" s="9" t="n"/>
      <c r="F234" s="9" t="n"/>
      <c r="G234" s="9" t="n"/>
      <c r="H234" s="24" t="n"/>
      <c r="I234" s="9" t="n"/>
      <c r="J234" s="24" t="n"/>
      <c r="K234" s="24" t="n"/>
      <c r="L234" s="24">
        <f>IF($H234="","",ROUND($H234*$J234-N($K234),2))</f>
        <v/>
      </c>
      <c r="M234" s="31" t="n"/>
      <c r="N234" s="24">
        <f>IF(OR($L234="",$M234=""),"",ROUND($L234-$L234/(1+$M234/100),2))</f>
        <v/>
      </c>
      <c r="O234" s="9" t="n"/>
      <c r="P234" s="9" t="n"/>
      <c r="Q234" s="9" t="n"/>
      <c r="R234" s="9" t="n"/>
      <c r="S234" s="9" t="n"/>
    </row>
    <row r="235">
      <c r="A235" s="9" t="n"/>
      <c r="B235" s="9" t="n"/>
      <c r="C235" s="30" t="n"/>
      <c r="D235" s="9">
        <f>IF($C235="","",YEAR($C235)&amp;"-"&amp;TEXT(MONTH($C235),"00"))</f>
        <v/>
      </c>
      <c r="E235" s="9" t="n"/>
      <c r="F235" s="9" t="n"/>
      <c r="G235" s="9" t="n"/>
      <c r="H235" s="24" t="n"/>
      <c r="I235" s="9" t="n"/>
      <c r="J235" s="24" t="n"/>
      <c r="K235" s="24" t="n"/>
      <c r="L235" s="24">
        <f>IF($H235="","",ROUND($H235*$J235-N($K235),2))</f>
        <v/>
      </c>
      <c r="M235" s="31" t="n"/>
      <c r="N235" s="24">
        <f>IF(OR($L235="",$M235=""),"",ROUND($L235-$L235/(1+$M235/100),2))</f>
        <v/>
      </c>
      <c r="O235" s="9" t="n"/>
      <c r="P235" s="9" t="n"/>
      <c r="Q235" s="9" t="n"/>
      <c r="R235" s="9" t="n"/>
      <c r="S235" s="9" t="n"/>
    </row>
    <row r="236">
      <c r="A236" s="9" t="n"/>
      <c r="B236" s="9" t="n"/>
      <c r="C236" s="30" t="n"/>
      <c r="D236" s="9">
        <f>IF($C236="","",YEAR($C236)&amp;"-"&amp;TEXT(MONTH($C236),"00"))</f>
        <v/>
      </c>
      <c r="E236" s="9" t="n"/>
      <c r="F236" s="9" t="n"/>
      <c r="G236" s="9" t="n"/>
      <c r="H236" s="24" t="n"/>
      <c r="I236" s="9" t="n"/>
      <c r="J236" s="24" t="n"/>
      <c r="K236" s="24" t="n"/>
      <c r="L236" s="24">
        <f>IF($H236="","",ROUND($H236*$J236-N($K236),2))</f>
        <v/>
      </c>
      <c r="M236" s="31" t="n"/>
      <c r="N236" s="24">
        <f>IF(OR($L236="",$M236=""),"",ROUND($L236-$L236/(1+$M236/100),2))</f>
        <v/>
      </c>
      <c r="O236" s="9" t="n"/>
      <c r="P236" s="9" t="n"/>
      <c r="Q236" s="9" t="n"/>
      <c r="R236" s="9" t="n"/>
      <c r="S236" s="9" t="n"/>
    </row>
    <row r="237">
      <c r="A237" s="9" t="n"/>
      <c r="B237" s="9" t="n"/>
      <c r="C237" s="30" t="n"/>
      <c r="D237" s="9">
        <f>IF($C237="","",YEAR($C237)&amp;"-"&amp;TEXT(MONTH($C237),"00"))</f>
        <v/>
      </c>
      <c r="E237" s="9" t="n"/>
      <c r="F237" s="9" t="n"/>
      <c r="G237" s="9" t="n"/>
      <c r="H237" s="24" t="n"/>
      <c r="I237" s="9" t="n"/>
      <c r="J237" s="24" t="n"/>
      <c r="K237" s="24" t="n"/>
      <c r="L237" s="24">
        <f>IF($H237="","",ROUND($H237*$J237-N($K237),2))</f>
        <v/>
      </c>
      <c r="M237" s="31" t="n"/>
      <c r="N237" s="24">
        <f>IF(OR($L237="",$M237=""),"",ROUND($L237-$L237/(1+$M237/100),2))</f>
        <v/>
      </c>
      <c r="O237" s="9" t="n"/>
      <c r="P237" s="9" t="n"/>
      <c r="Q237" s="9" t="n"/>
      <c r="R237" s="9" t="n"/>
      <c r="S237" s="9" t="n"/>
    </row>
    <row r="238">
      <c r="A238" s="9" t="n"/>
      <c r="B238" s="9" t="n"/>
      <c r="C238" s="30" t="n"/>
      <c r="D238" s="9">
        <f>IF($C238="","",YEAR($C238)&amp;"-"&amp;TEXT(MONTH($C238),"00"))</f>
        <v/>
      </c>
      <c r="E238" s="9" t="n"/>
      <c r="F238" s="9" t="n"/>
      <c r="G238" s="9" t="n"/>
      <c r="H238" s="24" t="n"/>
      <c r="I238" s="9" t="n"/>
      <c r="J238" s="24" t="n"/>
      <c r="K238" s="24" t="n"/>
      <c r="L238" s="24">
        <f>IF($H238="","",ROUND($H238*$J238-N($K238),2))</f>
        <v/>
      </c>
      <c r="M238" s="31" t="n"/>
      <c r="N238" s="24">
        <f>IF(OR($L238="",$M238=""),"",ROUND($L238-$L238/(1+$M238/100),2))</f>
        <v/>
      </c>
      <c r="O238" s="9" t="n"/>
      <c r="P238" s="9" t="n"/>
      <c r="Q238" s="9" t="n"/>
      <c r="R238" s="9" t="n"/>
      <c r="S238" s="9" t="n"/>
    </row>
    <row r="239">
      <c r="A239" s="9" t="n"/>
      <c r="B239" s="9" t="n"/>
      <c r="C239" s="30" t="n"/>
      <c r="D239" s="9">
        <f>IF($C239="","",YEAR($C239)&amp;"-"&amp;TEXT(MONTH($C239),"00"))</f>
        <v/>
      </c>
      <c r="E239" s="9" t="n"/>
      <c r="F239" s="9" t="n"/>
      <c r="G239" s="9" t="n"/>
      <c r="H239" s="24" t="n"/>
      <c r="I239" s="9" t="n"/>
      <c r="J239" s="24" t="n"/>
      <c r="K239" s="24" t="n"/>
      <c r="L239" s="24">
        <f>IF($H239="","",ROUND($H239*$J239-N($K239),2))</f>
        <v/>
      </c>
      <c r="M239" s="31" t="n"/>
      <c r="N239" s="24">
        <f>IF(OR($L239="",$M239=""),"",ROUND($L239-$L239/(1+$M239/100),2))</f>
        <v/>
      </c>
      <c r="O239" s="9" t="n"/>
      <c r="P239" s="9" t="n"/>
      <c r="Q239" s="9" t="n"/>
      <c r="R239" s="9" t="n"/>
      <c r="S239" s="9" t="n"/>
    </row>
    <row r="240">
      <c r="A240" s="9" t="n"/>
      <c r="B240" s="9" t="n"/>
      <c r="C240" s="30" t="n"/>
      <c r="D240" s="9">
        <f>IF($C240="","",YEAR($C240)&amp;"-"&amp;TEXT(MONTH($C240),"00"))</f>
        <v/>
      </c>
      <c r="E240" s="9" t="n"/>
      <c r="F240" s="9" t="n"/>
      <c r="G240" s="9" t="n"/>
      <c r="H240" s="24" t="n"/>
      <c r="I240" s="9" t="n"/>
      <c r="J240" s="24" t="n"/>
      <c r="K240" s="24" t="n"/>
      <c r="L240" s="24">
        <f>IF($H240="","",ROUND($H240*$J240-N($K240),2))</f>
        <v/>
      </c>
      <c r="M240" s="31" t="n"/>
      <c r="N240" s="24">
        <f>IF(OR($L240="",$M240=""),"",ROUND($L240-$L240/(1+$M240/100),2))</f>
        <v/>
      </c>
      <c r="O240" s="9" t="n"/>
      <c r="P240" s="9" t="n"/>
      <c r="Q240" s="9" t="n"/>
      <c r="R240" s="9" t="n"/>
      <c r="S240" s="9" t="n"/>
    </row>
    <row r="241">
      <c r="A241" s="9" t="n"/>
      <c r="B241" s="9" t="n"/>
      <c r="C241" s="30" t="n"/>
      <c r="D241" s="9">
        <f>IF($C241="","",YEAR($C241)&amp;"-"&amp;TEXT(MONTH($C241),"00"))</f>
        <v/>
      </c>
      <c r="E241" s="9" t="n"/>
      <c r="F241" s="9" t="n"/>
      <c r="G241" s="9" t="n"/>
      <c r="H241" s="24" t="n"/>
      <c r="I241" s="9" t="n"/>
      <c r="J241" s="24" t="n"/>
      <c r="K241" s="24" t="n"/>
      <c r="L241" s="24">
        <f>IF($H241="","",ROUND($H241*$J241-N($K241),2))</f>
        <v/>
      </c>
      <c r="M241" s="31" t="n"/>
      <c r="N241" s="24">
        <f>IF(OR($L241="",$M241=""),"",ROUND($L241-$L241/(1+$M241/100),2))</f>
        <v/>
      </c>
      <c r="O241" s="9" t="n"/>
      <c r="P241" s="9" t="n"/>
      <c r="Q241" s="9" t="n"/>
      <c r="R241" s="9" t="n"/>
      <c r="S241" s="9" t="n"/>
    </row>
    <row r="242">
      <c r="A242" s="9" t="n"/>
      <c r="B242" s="9" t="n"/>
      <c r="C242" s="30" t="n"/>
      <c r="D242" s="9">
        <f>IF($C242="","",YEAR($C242)&amp;"-"&amp;TEXT(MONTH($C242),"00"))</f>
        <v/>
      </c>
      <c r="E242" s="9" t="n"/>
      <c r="F242" s="9" t="n"/>
      <c r="G242" s="9" t="n"/>
      <c r="H242" s="24" t="n"/>
      <c r="I242" s="9" t="n"/>
      <c r="J242" s="24" t="n"/>
      <c r="K242" s="24" t="n"/>
      <c r="L242" s="24">
        <f>IF($H242="","",ROUND($H242*$J242-N($K242),2))</f>
        <v/>
      </c>
      <c r="M242" s="31" t="n"/>
      <c r="N242" s="24">
        <f>IF(OR($L242="",$M242=""),"",ROUND($L242-$L242/(1+$M242/100),2))</f>
        <v/>
      </c>
      <c r="O242" s="9" t="n"/>
      <c r="P242" s="9" t="n"/>
      <c r="Q242" s="9" t="n"/>
      <c r="R242" s="9" t="n"/>
      <c r="S242" s="9" t="n"/>
    </row>
    <row r="243">
      <c r="A243" s="9" t="n"/>
      <c r="B243" s="9" t="n"/>
      <c r="C243" s="30" t="n"/>
      <c r="D243" s="9">
        <f>IF($C243="","",YEAR($C243)&amp;"-"&amp;TEXT(MONTH($C243),"00"))</f>
        <v/>
      </c>
      <c r="E243" s="9" t="n"/>
      <c r="F243" s="9" t="n"/>
      <c r="G243" s="9" t="n"/>
      <c r="H243" s="24" t="n"/>
      <c r="I243" s="9" t="n"/>
      <c r="J243" s="24" t="n"/>
      <c r="K243" s="24" t="n"/>
      <c r="L243" s="24">
        <f>IF($H243="","",ROUND($H243*$J243-N($K243),2))</f>
        <v/>
      </c>
      <c r="M243" s="31" t="n"/>
      <c r="N243" s="24">
        <f>IF(OR($L243="",$M243=""),"",ROUND($L243-$L243/(1+$M243/100),2))</f>
        <v/>
      </c>
      <c r="O243" s="9" t="n"/>
      <c r="P243" s="9" t="n"/>
      <c r="Q243" s="9" t="n"/>
      <c r="R243" s="9" t="n"/>
      <c r="S243" s="9" t="n"/>
    </row>
    <row r="244">
      <c r="A244" s="9" t="n"/>
      <c r="B244" s="9" t="n"/>
      <c r="C244" s="30" t="n"/>
      <c r="D244" s="9">
        <f>IF($C244="","",YEAR($C244)&amp;"-"&amp;TEXT(MONTH($C244),"00"))</f>
        <v/>
      </c>
      <c r="E244" s="9" t="n"/>
      <c r="F244" s="9" t="n"/>
      <c r="G244" s="9" t="n"/>
      <c r="H244" s="24" t="n"/>
      <c r="I244" s="9" t="n"/>
      <c r="J244" s="24" t="n"/>
      <c r="K244" s="24" t="n"/>
      <c r="L244" s="24">
        <f>IF($H244="","",ROUND($H244*$J244-N($K244),2))</f>
        <v/>
      </c>
      <c r="M244" s="31" t="n"/>
      <c r="N244" s="24">
        <f>IF(OR($L244="",$M244=""),"",ROUND($L244-$L244/(1+$M244/100),2))</f>
        <v/>
      </c>
      <c r="O244" s="9" t="n"/>
      <c r="P244" s="9" t="n"/>
      <c r="Q244" s="9" t="n"/>
      <c r="R244" s="9" t="n"/>
      <c r="S244" s="9" t="n"/>
    </row>
    <row r="245">
      <c r="A245" s="9" t="n"/>
      <c r="B245" s="9" t="n"/>
      <c r="C245" s="30" t="n"/>
      <c r="D245" s="9">
        <f>IF($C245="","",YEAR($C245)&amp;"-"&amp;TEXT(MONTH($C245),"00"))</f>
        <v/>
      </c>
      <c r="E245" s="9" t="n"/>
      <c r="F245" s="9" t="n"/>
      <c r="G245" s="9" t="n"/>
      <c r="H245" s="24" t="n"/>
      <c r="I245" s="9" t="n"/>
      <c r="J245" s="24" t="n"/>
      <c r="K245" s="24" t="n"/>
      <c r="L245" s="24">
        <f>IF($H245="","",ROUND($H245*$J245-N($K245),2))</f>
        <v/>
      </c>
      <c r="M245" s="31" t="n"/>
      <c r="N245" s="24">
        <f>IF(OR($L245="",$M245=""),"",ROUND($L245-$L245/(1+$M245/100),2))</f>
        <v/>
      </c>
      <c r="O245" s="9" t="n"/>
      <c r="P245" s="9" t="n"/>
      <c r="Q245" s="9" t="n"/>
      <c r="R245" s="9" t="n"/>
      <c r="S245" s="9" t="n"/>
    </row>
    <row r="246">
      <c r="A246" s="9" t="n"/>
      <c r="B246" s="9" t="n"/>
      <c r="C246" s="30" t="n"/>
      <c r="D246" s="9">
        <f>IF($C246="","",YEAR($C246)&amp;"-"&amp;TEXT(MONTH($C246),"00"))</f>
        <v/>
      </c>
      <c r="E246" s="9" t="n"/>
      <c r="F246" s="9" t="n"/>
      <c r="G246" s="9" t="n"/>
      <c r="H246" s="24" t="n"/>
      <c r="I246" s="9" t="n"/>
      <c r="J246" s="24" t="n"/>
      <c r="K246" s="24" t="n"/>
      <c r="L246" s="24">
        <f>IF($H246="","",ROUND($H246*$J246-N($K246),2))</f>
        <v/>
      </c>
      <c r="M246" s="31" t="n"/>
      <c r="N246" s="24">
        <f>IF(OR($L246="",$M246=""),"",ROUND($L246-$L246/(1+$M246/100),2))</f>
        <v/>
      </c>
      <c r="O246" s="9" t="n"/>
      <c r="P246" s="9" t="n"/>
      <c r="Q246" s="9" t="n"/>
      <c r="R246" s="9" t="n"/>
      <c r="S246" s="9" t="n"/>
    </row>
    <row r="247">
      <c r="A247" s="9" t="n"/>
      <c r="B247" s="9" t="n"/>
      <c r="C247" s="30" t="n"/>
      <c r="D247" s="9">
        <f>IF($C247="","",YEAR($C247)&amp;"-"&amp;TEXT(MONTH($C247),"00"))</f>
        <v/>
      </c>
      <c r="E247" s="9" t="n"/>
      <c r="F247" s="9" t="n"/>
      <c r="G247" s="9" t="n"/>
      <c r="H247" s="24" t="n"/>
      <c r="I247" s="9" t="n"/>
      <c r="J247" s="24" t="n"/>
      <c r="K247" s="24" t="n"/>
      <c r="L247" s="24">
        <f>IF($H247="","",ROUND($H247*$J247-N($K247),2))</f>
        <v/>
      </c>
      <c r="M247" s="31" t="n"/>
      <c r="N247" s="24">
        <f>IF(OR($L247="",$M247=""),"",ROUND($L247-$L247/(1+$M247/100),2))</f>
        <v/>
      </c>
      <c r="O247" s="9" t="n"/>
      <c r="P247" s="9" t="n"/>
      <c r="Q247" s="9" t="n"/>
      <c r="R247" s="9" t="n"/>
      <c r="S247" s="9" t="n"/>
    </row>
    <row r="248">
      <c r="A248" s="9" t="n"/>
      <c r="B248" s="9" t="n"/>
      <c r="C248" s="30" t="n"/>
      <c r="D248" s="9">
        <f>IF($C248="","",YEAR($C248)&amp;"-"&amp;TEXT(MONTH($C248),"00"))</f>
        <v/>
      </c>
      <c r="E248" s="9" t="n"/>
      <c r="F248" s="9" t="n"/>
      <c r="G248" s="9" t="n"/>
      <c r="H248" s="24" t="n"/>
      <c r="I248" s="9" t="n"/>
      <c r="J248" s="24" t="n"/>
      <c r="K248" s="24" t="n"/>
      <c r="L248" s="24">
        <f>IF($H248="","",ROUND($H248*$J248-N($K248),2))</f>
        <v/>
      </c>
      <c r="M248" s="31" t="n"/>
      <c r="N248" s="24">
        <f>IF(OR($L248="",$M248=""),"",ROUND($L248-$L248/(1+$M248/100),2))</f>
        <v/>
      </c>
      <c r="O248" s="9" t="n"/>
      <c r="P248" s="9" t="n"/>
      <c r="Q248" s="9" t="n"/>
      <c r="R248" s="9" t="n"/>
      <c r="S248" s="9" t="n"/>
    </row>
    <row r="249">
      <c r="A249" s="9" t="n"/>
      <c r="B249" s="9" t="n"/>
      <c r="C249" s="30" t="n"/>
      <c r="D249" s="9">
        <f>IF($C249="","",YEAR($C249)&amp;"-"&amp;TEXT(MONTH($C249),"00"))</f>
        <v/>
      </c>
      <c r="E249" s="9" t="n"/>
      <c r="F249" s="9" t="n"/>
      <c r="G249" s="9" t="n"/>
      <c r="H249" s="24" t="n"/>
      <c r="I249" s="9" t="n"/>
      <c r="J249" s="24" t="n"/>
      <c r="K249" s="24" t="n"/>
      <c r="L249" s="24">
        <f>IF($H249="","",ROUND($H249*$J249-N($K249),2))</f>
        <v/>
      </c>
      <c r="M249" s="31" t="n"/>
      <c r="N249" s="24">
        <f>IF(OR($L249="",$M249=""),"",ROUND($L249-$L249/(1+$M249/100),2))</f>
        <v/>
      </c>
      <c r="O249" s="9" t="n"/>
      <c r="P249" s="9" t="n"/>
      <c r="Q249" s="9" t="n"/>
      <c r="R249" s="9" t="n"/>
      <c r="S249" s="9" t="n"/>
    </row>
    <row r="250">
      <c r="A250" s="9" t="n"/>
      <c r="B250" s="9" t="n"/>
      <c r="C250" s="30" t="n"/>
      <c r="D250" s="9">
        <f>IF($C250="","",YEAR($C250)&amp;"-"&amp;TEXT(MONTH($C250),"00"))</f>
        <v/>
      </c>
      <c r="E250" s="9" t="n"/>
      <c r="F250" s="9" t="n"/>
      <c r="G250" s="9" t="n"/>
      <c r="H250" s="24" t="n"/>
      <c r="I250" s="9" t="n"/>
      <c r="J250" s="24" t="n"/>
      <c r="K250" s="24" t="n"/>
      <c r="L250" s="24">
        <f>IF($H250="","",ROUND($H250*$J250-N($K250),2))</f>
        <v/>
      </c>
      <c r="M250" s="31" t="n"/>
      <c r="N250" s="24">
        <f>IF(OR($L250="",$M250=""),"",ROUND($L250-$L250/(1+$M250/100),2))</f>
        <v/>
      </c>
      <c r="O250" s="9" t="n"/>
      <c r="P250" s="9" t="n"/>
      <c r="Q250" s="9" t="n"/>
      <c r="R250" s="9" t="n"/>
      <c r="S250" s="9" t="n"/>
    </row>
    <row r="251">
      <c r="A251" s="9" t="n"/>
      <c r="B251" s="9" t="n"/>
      <c r="C251" s="30" t="n"/>
      <c r="D251" s="9">
        <f>IF($C251="","",YEAR($C251)&amp;"-"&amp;TEXT(MONTH($C251),"00"))</f>
        <v/>
      </c>
      <c r="E251" s="9" t="n"/>
      <c r="F251" s="9" t="n"/>
      <c r="G251" s="9" t="n"/>
      <c r="H251" s="24" t="n"/>
      <c r="I251" s="9" t="n"/>
      <c r="J251" s="24" t="n"/>
      <c r="K251" s="24" t="n"/>
      <c r="L251" s="24">
        <f>IF($H251="","",ROUND($H251*$J251-N($K251),2))</f>
        <v/>
      </c>
      <c r="M251" s="31" t="n"/>
      <c r="N251" s="24">
        <f>IF(OR($L251="",$M251=""),"",ROUND($L251-$L251/(1+$M251/100),2))</f>
        <v/>
      </c>
      <c r="O251" s="9" t="n"/>
      <c r="P251" s="9" t="n"/>
      <c r="Q251" s="9" t="n"/>
      <c r="R251" s="9" t="n"/>
      <c r="S251" s="9" t="n"/>
    </row>
    <row r="252">
      <c r="A252" s="9" t="n"/>
      <c r="B252" s="9" t="n"/>
      <c r="C252" s="30" t="n"/>
      <c r="D252" s="9">
        <f>IF($C252="","",YEAR($C252)&amp;"-"&amp;TEXT(MONTH($C252),"00"))</f>
        <v/>
      </c>
      <c r="E252" s="9" t="n"/>
      <c r="F252" s="9" t="n"/>
      <c r="G252" s="9" t="n"/>
      <c r="H252" s="24" t="n"/>
      <c r="I252" s="9" t="n"/>
      <c r="J252" s="24" t="n"/>
      <c r="K252" s="24" t="n"/>
      <c r="L252" s="24">
        <f>IF($H252="","",ROUND($H252*$J252-N($K252),2))</f>
        <v/>
      </c>
      <c r="M252" s="31" t="n"/>
      <c r="N252" s="24">
        <f>IF(OR($L252="",$M252=""),"",ROUND($L252-$L252/(1+$M252/100),2))</f>
        <v/>
      </c>
      <c r="O252" s="9" t="n"/>
      <c r="P252" s="9" t="n"/>
      <c r="Q252" s="9" t="n"/>
      <c r="R252" s="9" t="n"/>
      <c r="S252" s="9" t="n"/>
    </row>
    <row r="253">
      <c r="A253" s="9" t="n"/>
      <c r="B253" s="9" t="n"/>
      <c r="C253" s="30" t="n"/>
      <c r="D253" s="9">
        <f>IF($C253="","",YEAR($C253)&amp;"-"&amp;TEXT(MONTH($C253),"00"))</f>
        <v/>
      </c>
      <c r="E253" s="9" t="n"/>
      <c r="F253" s="9" t="n"/>
      <c r="G253" s="9" t="n"/>
      <c r="H253" s="24" t="n"/>
      <c r="I253" s="9" t="n"/>
      <c r="J253" s="24" t="n"/>
      <c r="K253" s="24" t="n"/>
      <c r="L253" s="24">
        <f>IF($H253="","",ROUND($H253*$J253-N($K253),2))</f>
        <v/>
      </c>
      <c r="M253" s="31" t="n"/>
      <c r="N253" s="24">
        <f>IF(OR($L253="",$M253=""),"",ROUND($L253-$L253/(1+$M253/100),2))</f>
        <v/>
      </c>
      <c r="O253" s="9" t="n"/>
      <c r="P253" s="9" t="n"/>
      <c r="Q253" s="9" t="n"/>
      <c r="R253" s="9" t="n"/>
      <c r="S253" s="9" t="n"/>
    </row>
    <row r="254">
      <c r="A254" s="9" t="n"/>
      <c r="B254" s="9" t="n"/>
      <c r="C254" s="30" t="n"/>
      <c r="D254" s="9">
        <f>IF($C254="","",YEAR($C254)&amp;"-"&amp;TEXT(MONTH($C254),"00"))</f>
        <v/>
      </c>
      <c r="E254" s="9" t="n"/>
      <c r="F254" s="9" t="n"/>
      <c r="G254" s="9" t="n"/>
      <c r="H254" s="24" t="n"/>
      <c r="I254" s="9" t="n"/>
      <c r="J254" s="24" t="n"/>
      <c r="K254" s="24" t="n"/>
      <c r="L254" s="24">
        <f>IF($H254="","",ROUND($H254*$J254-N($K254),2))</f>
        <v/>
      </c>
      <c r="M254" s="31" t="n"/>
      <c r="N254" s="24">
        <f>IF(OR($L254="",$M254=""),"",ROUND($L254-$L254/(1+$M254/100),2))</f>
        <v/>
      </c>
      <c r="O254" s="9" t="n"/>
      <c r="P254" s="9" t="n"/>
      <c r="Q254" s="9" t="n"/>
      <c r="R254" s="9" t="n"/>
      <c r="S254" s="9" t="n"/>
    </row>
    <row r="255">
      <c r="A255" s="9" t="n"/>
      <c r="B255" s="9" t="n"/>
      <c r="C255" s="30" t="n"/>
      <c r="D255" s="9">
        <f>IF($C255="","",YEAR($C255)&amp;"-"&amp;TEXT(MONTH($C255),"00"))</f>
        <v/>
      </c>
      <c r="E255" s="9" t="n"/>
      <c r="F255" s="9" t="n"/>
      <c r="G255" s="9" t="n"/>
      <c r="H255" s="24" t="n"/>
      <c r="I255" s="9" t="n"/>
      <c r="J255" s="24" t="n"/>
      <c r="K255" s="24" t="n"/>
      <c r="L255" s="24">
        <f>IF($H255="","",ROUND($H255*$J255-N($K255),2))</f>
        <v/>
      </c>
      <c r="M255" s="31" t="n"/>
      <c r="N255" s="24">
        <f>IF(OR($L255="",$M255=""),"",ROUND($L255-$L255/(1+$M255/100),2))</f>
        <v/>
      </c>
      <c r="O255" s="9" t="n"/>
      <c r="P255" s="9" t="n"/>
      <c r="Q255" s="9" t="n"/>
      <c r="R255" s="9" t="n"/>
      <c r="S255" s="9" t="n"/>
    </row>
    <row r="256">
      <c r="A256" s="9" t="n"/>
      <c r="B256" s="9" t="n"/>
      <c r="C256" s="30" t="n"/>
      <c r="D256" s="9">
        <f>IF($C256="","",YEAR($C256)&amp;"-"&amp;TEXT(MONTH($C256),"00"))</f>
        <v/>
      </c>
      <c r="E256" s="9" t="n"/>
      <c r="F256" s="9" t="n"/>
      <c r="G256" s="9" t="n"/>
      <c r="H256" s="24" t="n"/>
      <c r="I256" s="9" t="n"/>
      <c r="J256" s="24" t="n"/>
      <c r="K256" s="24" t="n"/>
      <c r="L256" s="24">
        <f>IF($H256="","",ROUND($H256*$J256-N($K256),2))</f>
        <v/>
      </c>
      <c r="M256" s="31" t="n"/>
      <c r="N256" s="24">
        <f>IF(OR($L256="",$M256=""),"",ROUND($L256-$L256/(1+$M256/100),2))</f>
        <v/>
      </c>
      <c r="O256" s="9" t="n"/>
      <c r="P256" s="9" t="n"/>
      <c r="Q256" s="9" t="n"/>
      <c r="R256" s="9" t="n"/>
      <c r="S256" s="9" t="n"/>
    </row>
    <row r="257">
      <c r="A257" s="9" t="n"/>
      <c r="B257" s="9" t="n"/>
      <c r="C257" s="30" t="n"/>
      <c r="D257" s="9">
        <f>IF($C257="","",YEAR($C257)&amp;"-"&amp;TEXT(MONTH($C257),"00"))</f>
        <v/>
      </c>
      <c r="E257" s="9" t="n"/>
      <c r="F257" s="9" t="n"/>
      <c r="G257" s="9" t="n"/>
      <c r="H257" s="24" t="n"/>
      <c r="I257" s="9" t="n"/>
      <c r="J257" s="24" t="n"/>
      <c r="K257" s="24" t="n"/>
      <c r="L257" s="24">
        <f>IF($H257="","",ROUND($H257*$J257-N($K257),2))</f>
        <v/>
      </c>
      <c r="M257" s="31" t="n"/>
      <c r="N257" s="24">
        <f>IF(OR($L257="",$M257=""),"",ROUND($L257-$L257/(1+$M257/100),2))</f>
        <v/>
      </c>
      <c r="O257" s="9" t="n"/>
      <c r="P257" s="9" t="n"/>
      <c r="Q257" s="9" t="n"/>
      <c r="R257" s="9" t="n"/>
      <c r="S257" s="9" t="n"/>
    </row>
    <row r="258">
      <c r="A258" s="9" t="n"/>
      <c r="B258" s="9" t="n"/>
      <c r="C258" s="30" t="n"/>
      <c r="D258" s="9">
        <f>IF($C258="","",YEAR($C258)&amp;"-"&amp;TEXT(MONTH($C258),"00"))</f>
        <v/>
      </c>
      <c r="E258" s="9" t="n"/>
      <c r="F258" s="9" t="n"/>
      <c r="G258" s="9" t="n"/>
      <c r="H258" s="24" t="n"/>
      <c r="I258" s="9" t="n"/>
      <c r="J258" s="24" t="n"/>
      <c r="K258" s="24" t="n"/>
      <c r="L258" s="24">
        <f>IF($H258="","",ROUND($H258*$J258-N($K258),2))</f>
        <v/>
      </c>
      <c r="M258" s="31" t="n"/>
      <c r="N258" s="24">
        <f>IF(OR($L258="",$M258=""),"",ROUND($L258-$L258/(1+$M258/100),2))</f>
        <v/>
      </c>
      <c r="O258" s="9" t="n"/>
      <c r="P258" s="9" t="n"/>
      <c r="Q258" s="9" t="n"/>
      <c r="R258" s="9" t="n"/>
      <c r="S258" s="9" t="n"/>
    </row>
    <row r="259">
      <c r="A259" s="9" t="n"/>
      <c r="B259" s="9" t="n"/>
      <c r="C259" s="30" t="n"/>
      <c r="D259" s="9">
        <f>IF($C259="","",YEAR($C259)&amp;"-"&amp;TEXT(MONTH($C259),"00"))</f>
        <v/>
      </c>
      <c r="E259" s="9" t="n"/>
      <c r="F259" s="9" t="n"/>
      <c r="G259" s="9" t="n"/>
      <c r="H259" s="24" t="n"/>
      <c r="I259" s="9" t="n"/>
      <c r="J259" s="24" t="n"/>
      <c r="K259" s="24" t="n"/>
      <c r="L259" s="24">
        <f>IF($H259="","",ROUND($H259*$J259-N($K259),2))</f>
        <v/>
      </c>
      <c r="M259" s="31" t="n"/>
      <c r="N259" s="24">
        <f>IF(OR($L259="",$M259=""),"",ROUND($L259-$L259/(1+$M259/100),2))</f>
        <v/>
      </c>
      <c r="O259" s="9" t="n"/>
      <c r="P259" s="9" t="n"/>
      <c r="Q259" s="9" t="n"/>
      <c r="R259" s="9" t="n"/>
      <c r="S259" s="9" t="n"/>
    </row>
    <row r="260">
      <c r="A260" s="9" t="n"/>
      <c r="B260" s="9" t="n"/>
      <c r="C260" s="30" t="n"/>
      <c r="D260" s="9">
        <f>IF($C260="","",YEAR($C260)&amp;"-"&amp;TEXT(MONTH($C260),"00"))</f>
        <v/>
      </c>
      <c r="E260" s="9" t="n"/>
      <c r="F260" s="9" t="n"/>
      <c r="G260" s="9" t="n"/>
      <c r="H260" s="24" t="n"/>
      <c r="I260" s="9" t="n"/>
      <c r="J260" s="24" t="n"/>
      <c r="K260" s="24" t="n"/>
      <c r="L260" s="24">
        <f>IF($H260="","",ROUND($H260*$J260-N($K260),2))</f>
        <v/>
      </c>
      <c r="M260" s="31" t="n"/>
      <c r="N260" s="24">
        <f>IF(OR($L260="",$M260=""),"",ROUND($L260-$L260/(1+$M260/100),2))</f>
        <v/>
      </c>
      <c r="O260" s="9" t="n"/>
      <c r="P260" s="9" t="n"/>
      <c r="Q260" s="9" t="n"/>
      <c r="R260" s="9" t="n"/>
      <c r="S260" s="9" t="n"/>
    </row>
    <row r="261">
      <c r="A261" s="9" t="n"/>
      <c r="B261" s="9" t="n"/>
      <c r="C261" s="30" t="n"/>
      <c r="D261" s="9">
        <f>IF($C261="","",YEAR($C261)&amp;"-"&amp;TEXT(MONTH($C261),"00"))</f>
        <v/>
      </c>
      <c r="E261" s="9" t="n"/>
      <c r="F261" s="9" t="n"/>
      <c r="G261" s="9" t="n"/>
      <c r="H261" s="24" t="n"/>
      <c r="I261" s="9" t="n"/>
      <c r="J261" s="24" t="n"/>
      <c r="K261" s="24" t="n"/>
      <c r="L261" s="24">
        <f>IF($H261="","",ROUND($H261*$J261-N($K261),2))</f>
        <v/>
      </c>
      <c r="M261" s="31" t="n"/>
      <c r="N261" s="24">
        <f>IF(OR($L261="",$M261=""),"",ROUND($L261-$L261/(1+$M261/100),2))</f>
        <v/>
      </c>
      <c r="O261" s="9" t="n"/>
      <c r="P261" s="9" t="n"/>
      <c r="Q261" s="9" t="n"/>
      <c r="R261" s="9" t="n"/>
      <c r="S261" s="9" t="n"/>
    </row>
    <row r="262">
      <c r="A262" s="9" t="n"/>
      <c r="B262" s="9" t="n"/>
      <c r="C262" s="30" t="n"/>
      <c r="D262" s="9">
        <f>IF($C262="","",YEAR($C262)&amp;"-"&amp;TEXT(MONTH($C262),"00"))</f>
        <v/>
      </c>
      <c r="E262" s="9" t="n"/>
      <c r="F262" s="9" t="n"/>
      <c r="G262" s="9" t="n"/>
      <c r="H262" s="24" t="n"/>
      <c r="I262" s="9" t="n"/>
      <c r="J262" s="24" t="n"/>
      <c r="K262" s="24" t="n"/>
      <c r="L262" s="24">
        <f>IF($H262="","",ROUND($H262*$J262-N($K262),2))</f>
        <v/>
      </c>
      <c r="M262" s="31" t="n"/>
      <c r="N262" s="24">
        <f>IF(OR($L262="",$M262=""),"",ROUND($L262-$L262/(1+$M262/100),2))</f>
        <v/>
      </c>
      <c r="O262" s="9" t="n"/>
      <c r="P262" s="9" t="n"/>
      <c r="Q262" s="9" t="n"/>
      <c r="R262" s="9" t="n"/>
      <c r="S262" s="9" t="n"/>
    </row>
    <row r="263">
      <c r="A263" s="9" t="n"/>
      <c r="B263" s="9" t="n"/>
      <c r="C263" s="30" t="n"/>
      <c r="D263" s="9">
        <f>IF($C263="","",YEAR($C263)&amp;"-"&amp;TEXT(MONTH($C263),"00"))</f>
        <v/>
      </c>
      <c r="E263" s="9" t="n"/>
      <c r="F263" s="9" t="n"/>
      <c r="G263" s="9" t="n"/>
      <c r="H263" s="24" t="n"/>
      <c r="I263" s="9" t="n"/>
      <c r="J263" s="24" t="n"/>
      <c r="K263" s="24" t="n"/>
      <c r="L263" s="24">
        <f>IF($H263="","",ROUND($H263*$J263-N($K263),2))</f>
        <v/>
      </c>
      <c r="M263" s="31" t="n"/>
      <c r="N263" s="24">
        <f>IF(OR($L263="",$M263=""),"",ROUND($L263-$L263/(1+$M263/100),2))</f>
        <v/>
      </c>
      <c r="O263" s="9" t="n"/>
      <c r="P263" s="9" t="n"/>
      <c r="Q263" s="9" t="n"/>
      <c r="R263" s="9" t="n"/>
      <c r="S263" s="9" t="n"/>
    </row>
    <row r="264">
      <c r="A264" s="9" t="n"/>
      <c r="B264" s="9" t="n"/>
      <c r="C264" s="30" t="n"/>
      <c r="D264" s="9">
        <f>IF($C264="","",YEAR($C264)&amp;"-"&amp;TEXT(MONTH($C264),"00"))</f>
        <v/>
      </c>
      <c r="E264" s="9" t="n"/>
      <c r="F264" s="9" t="n"/>
      <c r="G264" s="9" t="n"/>
      <c r="H264" s="24" t="n"/>
      <c r="I264" s="9" t="n"/>
      <c r="J264" s="24" t="n"/>
      <c r="K264" s="24" t="n"/>
      <c r="L264" s="24">
        <f>IF($H264="","",ROUND($H264*$J264-N($K264),2))</f>
        <v/>
      </c>
      <c r="M264" s="31" t="n"/>
      <c r="N264" s="24">
        <f>IF(OR($L264="",$M264=""),"",ROUND($L264-$L264/(1+$M264/100),2))</f>
        <v/>
      </c>
      <c r="O264" s="9" t="n"/>
      <c r="P264" s="9" t="n"/>
      <c r="Q264" s="9" t="n"/>
      <c r="R264" s="9" t="n"/>
      <c r="S264" s="9" t="n"/>
    </row>
    <row r="265">
      <c r="A265" s="9" t="n"/>
      <c r="B265" s="9" t="n"/>
      <c r="C265" s="30" t="n"/>
      <c r="D265" s="9">
        <f>IF($C265="","",YEAR($C265)&amp;"-"&amp;TEXT(MONTH($C265),"00"))</f>
        <v/>
      </c>
      <c r="E265" s="9" t="n"/>
      <c r="F265" s="9" t="n"/>
      <c r="G265" s="9" t="n"/>
      <c r="H265" s="24" t="n"/>
      <c r="I265" s="9" t="n"/>
      <c r="J265" s="24" t="n"/>
      <c r="K265" s="24" t="n"/>
      <c r="L265" s="24">
        <f>IF($H265="","",ROUND($H265*$J265-N($K265),2))</f>
        <v/>
      </c>
      <c r="M265" s="31" t="n"/>
      <c r="N265" s="24">
        <f>IF(OR($L265="",$M265=""),"",ROUND($L265-$L265/(1+$M265/100),2))</f>
        <v/>
      </c>
      <c r="O265" s="9" t="n"/>
      <c r="P265" s="9" t="n"/>
      <c r="Q265" s="9" t="n"/>
      <c r="R265" s="9" t="n"/>
      <c r="S265" s="9" t="n"/>
    </row>
    <row r="266">
      <c r="A266" s="9" t="n"/>
      <c r="B266" s="9" t="n"/>
      <c r="C266" s="30" t="n"/>
      <c r="D266" s="9">
        <f>IF($C266="","",YEAR($C266)&amp;"-"&amp;TEXT(MONTH($C266),"00"))</f>
        <v/>
      </c>
      <c r="E266" s="9" t="n"/>
      <c r="F266" s="9" t="n"/>
      <c r="G266" s="9" t="n"/>
      <c r="H266" s="24" t="n"/>
      <c r="I266" s="9" t="n"/>
      <c r="J266" s="24" t="n"/>
      <c r="K266" s="24" t="n"/>
      <c r="L266" s="24">
        <f>IF($H266="","",ROUND($H266*$J266-N($K266),2))</f>
        <v/>
      </c>
      <c r="M266" s="31" t="n"/>
      <c r="N266" s="24">
        <f>IF(OR($L266="",$M266=""),"",ROUND($L266-$L266/(1+$M266/100),2))</f>
        <v/>
      </c>
      <c r="O266" s="9" t="n"/>
      <c r="P266" s="9" t="n"/>
      <c r="Q266" s="9" t="n"/>
      <c r="R266" s="9" t="n"/>
      <c r="S266" s="9" t="n"/>
    </row>
    <row r="267">
      <c r="A267" s="9" t="n"/>
      <c r="B267" s="9" t="n"/>
      <c r="C267" s="30" t="n"/>
      <c r="D267" s="9">
        <f>IF($C267="","",YEAR($C267)&amp;"-"&amp;TEXT(MONTH($C267),"00"))</f>
        <v/>
      </c>
      <c r="E267" s="9" t="n"/>
      <c r="F267" s="9" t="n"/>
      <c r="G267" s="9" t="n"/>
      <c r="H267" s="24" t="n"/>
      <c r="I267" s="9" t="n"/>
      <c r="J267" s="24" t="n"/>
      <c r="K267" s="24" t="n"/>
      <c r="L267" s="24">
        <f>IF($H267="","",ROUND($H267*$J267-N($K267),2))</f>
        <v/>
      </c>
      <c r="M267" s="31" t="n"/>
      <c r="N267" s="24">
        <f>IF(OR($L267="",$M267=""),"",ROUND($L267-$L267/(1+$M267/100),2))</f>
        <v/>
      </c>
      <c r="O267" s="9" t="n"/>
      <c r="P267" s="9" t="n"/>
      <c r="Q267" s="9" t="n"/>
      <c r="R267" s="9" t="n"/>
      <c r="S267" s="9" t="n"/>
    </row>
    <row r="268">
      <c r="A268" s="9" t="n"/>
      <c r="B268" s="9" t="n"/>
      <c r="C268" s="30" t="n"/>
      <c r="D268" s="9">
        <f>IF($C268="","",YEAR($C268)&amp;"-"&amp;TEXT(MONTH($C268),"00"))</f>
        <v/>
      </c>
      <c r="E268" s="9" t="n"/>
      <c r="F268" s="9" t="n"/>
      <c r="G268" s="9" t="n"/>
      <c r="H268" s="24" t="n"/>
      <c r="I268" s="9" t="n"/>
      <c r="J268" s="24" t="n"/>
      <c r="K268" s="24" t="n"/>
      <c r="L268" s="24">
        <f>IF($H268="","",ROUND($H268*$J268-N($K268),2))</f>
        <v/>
      </c>
      <c r="M268" s="31" t="n"/>
      <c r="N268" s="24">
        <f>IF(OR($L268="",$M268=""),"",ROUND($L268-$L268/(1+$M268/100),2))</f>
        <v/>
      </c>
      <c r="O268" s="9" t="n"/>
      <c r="P268" s="9" t="n"/>
      <c r="Q268" s="9" t="n"/>
      <c r="R268" s="9" t="n"/>
      <c r="S268" s="9" t="n"/>
    </row>
    <row r="269">
      <c r="A269" s="9" t="n"/>
      <c r="B269" s="9" t="n"/>
      <c r="C269" s="30" t="n"/>
      <c r="D269" s="9">
        <f>IF($C269="","",YEAR($C269)&amp;"-"&amp;TEXT(MONTH($C269),"00"))</f>
        <v/>
      </c>
      <c r="E269" s="9" t="n"/>
      <c r="F269" s="9" t="n"/>
      <c r="G269" s="9" t="n"/>
      <c r="H269" s="24" t="n"/>
      <c r="I269" s="9" t="n"/>
      <c r="J269" s="24" t="n"/>
      <c r="K269" s="24" t="n"/>
      <c r="L269" s="24">
        <f>IF($H269="","",ROUND($H269*$J269-N($K269),2))</f>
        <v/>
      </c>
      <c r="M269" s="31" t="n"/>
      <c r="N269" s="24">
        <f>IF(OR($L269="",$M269=""),"",ROUND($L269-$L269/(1+$M269/100),2))</f>
        <v/>
      </c>
      <c r="O269" s="9" t="n"/>
      <c r="P269" s="9" t="n"/>
      <c r="Q269" s="9" t="n"/>
      <c r="R269" s="9" t="n"/>
      <c r="S269" s="9" t="n"/>
    </row>
    <row r="270">
      <c r="A270" s="9" t="n"/>
      <c r="B270" s="9" t="n"/>
      <c r="C270" s="30" t="n"/>
      <c r="D270" s="9">
        <f>IF($C270="","",YEAR($C270)&amp;"-"&amp;TEXT(MONTH($C270),"00"))</f>
        <v/>
      </c>
      <c r="E270" s="9" t="n"/>
      <c r="F270" s="9" t="n"/>
      <c r="G270" s="9" t="n"/>
      <c r="H270" s="24" t="n"/>
      <c r="I270" s="9" t="n"/>
      <c r="J270" s="24" t="n"/>
      <c r="K270" s="24" t="n"/>
      <c r="L270" s="24">
        <f>IF($H270="","",ROUND($H270*$J270-N($K270),2))</f>
        <v/>
      </c>
      <c r="M270" s="31" t="n"/>
      <c r="N270" s="24">
        <f>IF(OR($L270="",$M270=""),"",ROUND($L270-$L270/(1+$M270/100),2))</f>
        <v/>
      </c>
      <c r="O270" s="9" t="n"/>
      <c r="P270" s="9" t="n"/>
      <c r="Q270" s="9" t="n"/>
      <c r="R270" s="9" t="n"/>
      <c r="S270" s="9" t="n"/>
    </row>
    <row r="271">
      <c r="A271" s="9" t="n"/>
      <c r="B271" s="9" t="n"/>
      <c r="C271" s="30" t="n"/>
      <c r="D271" s="9">
        <f>IF($C271="","",YEAR($C271)&amp;"-"&amp;TEXT(MONTH($C271),"00"))</f>
        <v/>
      </c>
      <c r="E271" s="9" t="n"/>
      <c r="F271" s="9" t="n"/>
      <c r="G271" s="9" t="n"/>
      <c r="H271" s="24" t="n"/>
      <c r="I271" s="9" t="n"/>
      <c r="J271" s="24" t="n"/>
      <c r="K271" s="24" t="n"/>
      <c r="L271" s="24">
        <f>IF($H271="","",ROUND($H271*$J271-N($K271),2))</f>
        <v/>
      </c>
      <c r="M271" s="31" t="n"/>
      <c r="N271" s="24">
        <f>IF(OR($L271="",$M271=""),"",ROUND($L271-$L271/(1+$M271/100),2))</f>
        <v/>
      </c>
      <c r="O271" s="9" t="n"/>
      <c r="P271" s="9" t="n"/>
      <c r="Q271" s="9" t="n"/>
      <c r="R271" s="9" t="n"/>
      <c r="S271" s="9" t="n"/>
    </row>
    <row r="272">
      <c r="A272" s="9" t="n"/>
      <c r="B272" s="9" t="n"/>
      <c r="C272" s="30" t="n"/>
      <c r="D272" s="9">
        <f>IF($C272="","",YEAR($C272)&amp;"-"&amp;TEXT(MONTH($C272),"00"))</f>
        <v/>
      </c>
      <c r="E272" s="9" t="n"/>
      <c r="F272" s="9" t="n"/>
      <c r="G272" s="9" t="n"/>
      <c r="H272" s="24" t="n"/>
      <c r="I272" s="9" t="n"/>
      <c r="J272" s="24" t="n"/>
      <c r="K272" s="24" t="n"/>
      <c r="L272" s="24">
        <f>IF($H272="","",ROUND($H272*$J272-N($K272),2))</f>
        <v/>
      </c>
      <c r="M272" s="31" t="n"/>
      <c r="N272" s="24">
        <f>IF(OR($L272="",$M272=""),"",ROUND($L272-$L272/(1+$M272/100),2))</f>
        <v/>
      </c>
      <c r="O272" s="9" t="n"/>
      <c r="P272" s="9" t="n"/>
      <c r="Q272" s="9" t="n"/>
      <c r="R272" s="9" t="n"/>
      <c r="S272" s="9" t="n"/>
    </row>
    <row r="273">
      <c r="A273" s="9" t="n"/>
      <c r="B273" s="9" t="n"/>
      <c r="C273" s="30" t="n"/>
      <c r="D273" s="9">
        <f>IF($C273="","",YEAR($C273)&amp;"-"&amp;TEXT(MONTH($C273),"00"))</f>
        <v/>
      </c>
      <c r="E273" s="9" t="n"/>
      <c r="F273" s="9" t="n"/>
      <c r="G273" s="9" t="n"/>
      <c r="H273" s="24" t="n"/>
      <c r="I273" s="9" t="n"/>
      <c r="J273" s="24" t="n"/>
      <c r="K273" s="24" t="n"/>
      <c r="L273" s="24">
        <f>IF($H273="","",ROUND($H273*$J273-N($K273),2))</f>
        <v/>
      </c>
      <c r="M273" s="31" t="n"/>
      <c r="N273" s="24">
        <f>IF(OR($L273="",$M273=""),"",ROUND($L273-$L273/(1+$M273/100),2))</f>
        <v/>
      </c>
      <c r="O273" s="9" t="n"/>
      <c r="P273" s="9" t="n"/>
      <c r="Q273" s="9" t="n"/>
      <c r="R273" s="9" t="n"/>
      <c r="S273" s="9" t="n"/>
    </row>
    <row r="274">
      <c r="A274" s="9" t="n"/>
      <c r="B274" s="9" t="n"/>
      <c r="C274" s="30" t="n"/>
      <c r="D274" s="9">
        <f>IF($C274="","",YEAR($C274)&amp;"-"&amp;TEXT(MONTH($C274),"00"))</f>
        <v/>
      </c>
      <c r="E274" s="9" t="n"/>
      <c r="F274" s="9" t="n"/>
      <c r="G274" s="9" t="n"/>
      <c r="H274" s="24" t="n"/>
      <c r="I274" s="9" t="n"/>
      <c r="J274" s="24" t="n"/>
      <c r="K274" s="24" t="n"/>
      <c r="L274" s="24">
        <f>IF($H274="","",ROUND($H274*$J274-N($K274),2))</f>
        <v/>
      </c>
      <c r="M274" s="31" t="n"/>
      <c r="N274" s="24">
        <f>IF(OR($L274="",$M274=""),"",ROUND($L274-$L274/(1+$M274/100),2))</f>
        <v/>
      </c>
      <c r="O274" s="9" t="n"/>
      <c r="P274" s="9" t="n"/>
      <c r="Q274" s="9" t="n"/>
      <c r="R274" s="9" t="n"/>
      <c r="S274" s="9" t="n"/>
    </row>
    <row r="275">
      <c r="A275" s="9" t="n"/>
      <c r="B275" s="9" t="n"/>
      <c r="C275" s="30" t="n"/>
      <c r="D275" s="9">
        <f>IF($C275="","",YEAR($C275)&amp;"-"&amp;TEXT(MONTH($C275),"00"))</f>
        <v/>
      </c>
      <c r="E275" s="9" t="n"/>
      <c r="F275" s="9" t="n"/>
      <c r="G275" s="9" t="n"/>
      <c r="H275" s="24" t="n"/>
      <c r="I275" s="9" t="n"/>
      <c r="J275" s="24" t="n"/>
      <c r="K275" s="24" t="n"/>
      <c r="L275" s="24">
        <f>IF($H275="","",ROUND($H275*$J275-N($K275),2))</f>
        <v/>
      </c>
      <c r="M275" s="31" t="n"/>
      <c r="N275" s="24">
        <f>IF(OR($L275="",$M275=""),"",ROUND($L275-$L275/(1+$M275/100),2))</f>
        <v/>
      </c>
      <c r="O275" s="9" t="n"/>
      <c r="P275" s="9" t="n"/>
      <c r="Q275" s="9" t="n"/>
      <c r="R275" s="9" t="n"/>
      <c r="S275" s="9" t="n"/>
    </row>
    <row r="276">
      <c r="A276" s="9" t="n"/>
      <c r="B276" s="9" t="n"/>
      <c r="C276" s="30" t="n"/>
      <c r="D276" s="9">
        <f>IF($C276="","",YEAR($C276)&amp;"-"&amp;TEXT(MONTH($C276),"00"))</f>
        <v/>
      </c>
      <c r="E276" s="9" t="n"/>
      <c r="F276" s="9" t="n"/>
      <c r="G276" s="9" t="n"/>
      <c r="H276" s="24" t="n"/>
      <c r="I276" s="9" t="n"/>
      <c r="J276" s="24" t="n"/>
      <c r="K276" s="24" t="n"/>
      <c r="L276" s="24">
        <f>IF($H276="","",ROUND($H276*$J276-N($K276),2))</f>
        <v/>
      </c>
      <c r="M276" s="31" t="n"/>
      <c r="N276" s="24">
        <f>IF(OR($L276="",$M276=""),"",ROUND($L276-$L276/(1+$M276/100),2))</f>
        <v/>
      </c>
      <c r="O276" s="9" t="n"/>
      <c r="P276" s="9" t="n"/>
      <c r="Q276" s="9" t="n"/>
      <c r="R276" s="9" t="n"/>
      <c r="S276" s="9" t="n"/>
    </row>
    <row r="277">
      <c r="A277" s="9" t="n"/>
      <c r="B277" s="9" t="n"/>
      <c r="C277" s="30" t="n"/>
      <c r="D277" s="9">
        <f>IF($C277="","",YEAR($C277)&amp;"-"&amp;TEXT(MONTH($C277),"00"))</f>
        <v/>
      </c>
      <c r="E277" s="9" t="n"/>
      <c r="F277" s="9" t="n"/>
      <c r="G277" s="9" t="n"/>
      <c r="H277" s="24" t="n"/>
      <c r="I277" s="9" t="n"/>
      <c r="J277" s="24" t="n"/>
      <c r="K277" s="24" t="n"/>
      <c r="L277" s="24">
        <f>IF($H277="","",ROUND($H277*$J277-N($K277),2))</f>
        <v/>
      </c>
      <c r="M277" s="31" t="n"/>
      <c r="N277" s="24">
        <f>IF(OR($L277="",$M277=""),"",ROUND($L277-$L277/(1+$M277/100),2))</f>
        <v/>
      </c>
      <c r="O277" s="9" t="n"/>
      <c r="P277" s="9" t="n"/>
      <c r="Q277" s="9" t="n"/>
      <c r="R277" s="9" t="n"/>
      <c r="S277" s="9" t="n"/>
    </row>
    <row r="278">
      <c r="A278" s="9" t="n"/>
      <c r="B278" s="9" t="n"/>
      <c r="C278" s="30" t="n"/>
      <c r="D278" s="9">
        <f>IF($C278="","",YEAR($C278)&amp;"-"&amp;TEXT(MONTH($C278),"00"))</f>
        <v/>
      </c>
      <c r="E278" s="9" t="n"/>
      <c r="F278" s="9" t="n"/>
      <c r="G278" s="9" t="n"/>
      <c r="H278" s="24" t="n"/>
      <c r="I278" s="9" t="n"/>
      <c r="J278" s="24" t="n"/>
      <c r="K278" s="24" t="n"/>
      <c r="L278" s="24">
        <f>IF($H278="","",ROUND($H278*$J278-N($K278),2))</f>
        <v/>
      </c>
      <c r="M278" s="31" t="n"/>
      <c r="N278" s="24">
        <f>IF(OR($L278="",$M278=""),"",ROUND($L278-$L278/(1+$M278/100),2))</f>
        <v/>
      </c>
      <c r="O278" s="9" t="n"/>
      <c r="P278" s="9" t="n"/>
      <c r="Q278" s="9" t="n"/>
      <c r="R278" s="9" t="n"/>
      <c r="S278" s="9" t="n"/>
    </row>
    <row r="279">
      <c r="A279" s="9" t="n"/>
      <c r="B279" s="9" t="n"/>
      <c r="C279" s="30" t="n"/>
      <c r="D279" s="9">
        <f>IF($C279="","",YEAR($C279)&amp;"-"&amp;TEXT(MONTH($C279),"00"))</f>
        <v/>
      </c>
      <c r="E279" s="9" t="n"/>
      <c r="F279" s="9" t="n"/>
      <c r="G279" s="9" t="n"/>
      <c r="H279" s="24" t="n"/>
      <c r="I279" s="9" t="n"/>
      <c r="J279" s="24" t="n"/>
      <c r="K279" s="24" t="n"/>
      <c r="L279" s="24">
        <f>IF($H279="","",ROUND($H279*$J279-N($K279),2))</f>
        <v/>
      </c>
      <c r="M279" s="31" t="n"/>
      <c r="N279" s="24">
        <f>IF(OR($L279="",$M279=""),"",ROUND($L279-$L279/(1+$M279/100),2))</f>
        <v/>
      </c>
      <c r="O279" s="9" t="n"/>
      <c r="P279" s="9" t="n"/>
      <c r="Q279" s="9" t="n"/>
      <c r="R279" s="9" t="n"/>
      <c r="S279" s="9" t="n"/>
    </row>
    <row r="280">
      <c r="A280" s="9" t="n"/>
      <c r="B280" s="9" t="n"/>
      <c r="C280" s="30" t="n"/>
      <c r="D280" s="9">
        <f>IF($C280="","",YEAR($C280)&amp;"-"&amp;TEXT(MONTH($C280),"00"))</f>
        <v/>
      </c>
      <c r="E280" s="9" t="n"/>
      <c r="F280" s="9" t="n"/>
      <c r="G280" s="9" t="n"/>
      <c r="H280" s="24" t="n"/>
      <c r="I280" s="9" t="n"/>
      <c r="J280" s="24" t="n"/>
      <c r="K280" s="24" t="n"/>
      <c r="L280" s="24">
        <f>IF($H280="","",ROUND($H280*$J280-N($K280),2))</f>
        <v/>
      </c>
      <c r="M280" s="31" t="n"/>
      <c r="N280" s="24">
        <f>IF(OR($L280="",$M280=""),"",ROUND($L280-$L280/(1+$M280/100),2))</f>
        <v/>
      </c>
      <c r="O280" s="9" t="n"/>
      <c r="P280" s="9" t="n"/>
      <c r="Q280" s="9" t="n"/>
      <c r="R280" s="9" t="n"/>
      <c r="S280" s="9" t="n"/>
    </row>
    <row r="281">
      <c r="A281" s="9" t="n"/>
      <c r="B281" s="9" t="n"/>
      <c r="C281" s="30" t="n"/>
      <c r="D281" s="9">
        <f>IF($C281="","",YEAR($C281)&amp;"-"&amp;TEXT(MONTH($C281),"00"))</f>
        <v/>
      </c>
      <c r="E281" s="9" t="n"/>
      <c r="F281" s="9" t="n"/>
      <c r="G281" s="9" t="n"/>
      <c r="H281" s="24" t="n"/>
      <c r="I281" s="9" t="n"/>
      <c r="J281" s="24" t="n"/>
      <c r="K281" s="24" t="n"/>
      <c r="L281" s="24">
        <f>IF($H281="","",ROUND($H281*$J281-N($K281),2))</f>
        <v/>
      </c>
      <c r="M281" s="31" t="n"/>
      <c r="N281" s="24">
        <f>IF(OR($L281="",$M281=""),"",ROUND($L281-$L281/(1+$M281/100),2))</f>
        <v/>
      </c>
      <c r="O281" s="9" t="n"/>
      <c r="P281" s="9" t="n"/>
      <c r="Q281" s="9" t="n"/>
      <c r="R281" s="9" t="n"/>
      <c r="S281" s="9" t="n"/>
    </row>
    <row r="282">
      <c r="A282" s="9" t="n"/>
      <c r="B282" s="9" t="n"/>
      <c r="C282" s="30" t="n"/>
      <c r="D282" s="9">
        <f>IF($C282="","",YEAR($C282)&amp;"-"&amp;TEXT(MONTH($C282),"00"))</f>
        <v/>
      </c>
      <c r="E282" s="9" t="n"/>
      <c r="F282" s="9" t="n"/>
      <c r="G282" s="9" t="n"/>
      <c r="H282" s="24" t="n"/>
      <c r="I282" s="9" t="n"/>
      <c r="J282" s="24" t="n"/>
      <c r="K282" s="24" t="n"/>
      <c r="L282" s="24">
        <f>IF($H282="","",ROUND($H282*$J282-N($K282),2))</f>
        <v/>
      </c>
      <c r="M282" s="31" t="n"/>
      <c r="N282" s="24">
        <f>IF(OR($L282="",$M282=""),"",ROUND($L282-$L282/(1+$M282/100),2))</f>
        <v/>
      </c>
      <c r="O282" s="9" t="n"/>
      <c r="P282" s="9" t="n"/>
      <c r="Q282" s="9" t="n"/>
      <c r="R282" s="9" t="n"/>
      <c r="S282" s="9" t="n"/>
    </row>
    <row r="283">
      <c r="A283" s="9" t="n"/>
      <c r="B283" s="9" t="n"/>
      <c r="C283" s="30" t="n"/>
      <c r="D283" s="9">
        <f>IF($C283="","",YEAR($C283)&amp;"-"&amp;TEXT(MONTH($C283),"00"))</f>
        <v/>
      </c>
      <c r="E283" s="9" t="n"/>
      <c r="F283" s="9" t="n"/>
      <c r="G283" s="9" t="n"/>
      <c r="H283" s="24" t="n"/>
      <c r="I283" s="9" t="n"/>
      <c r="J283" s="24" t="n"/>
      <c r="K283" s="24" t="n"/>
      <c r="L283" s="24">
        <f>IF($H283="","",ROUND($H283*$J283-N($K283),2))</f>
        <v/>
      </c>
      <c r="M283" s="31" t="n"/>
      <c r="N283" s="24">
        <f>IF(OR($L283="",$M283=""),"",ROUND($L283-$L283/(1+$M283/100),2))</f>
        <v/>
      </c>
      <c r="O283" s="9" t="n"/>
      <c r="P283" s="9" t="n"/>
      <c r="Q283" s="9" t="n"/>
      <c r="R283" s="9" t="n"/>
      <c r="S283" s="9" t="n"/>
    </row>
    <row r="284">
      <c r="A284" s="9" t="n"/>
      <c r="B284" s="9" t="n"/>
      <c r="C284" s="30" t="n"/>
      <c r="D284" s="9">
        <f>IF($C284="","",YEAR($C284)&amp;"-"&amp;TEXT(MONTH($C284),"00"))</f>
        <v/>
      </c>
      <c r="E284" s="9" t="n"/>
      <c r="F284" s="9" t="n"/>
      <c r="G284" s="9" t="n"/>
      <c r="H284" s="24" t="n"/>
      <c r="I284" s="9" t="n"/>
      <c r="J284" s="24" t="n"/>
      <c r="K284" s="24" t="n"/>
      <c r="L284" s="24">
        <f>IF($H284="","",ROUND($H284*$J284-N($K284),2))</f>
        <v/>
      </c>
      <c r="M284" s="31" t="n"/>
      <c r="N284" s="24">
        <f>IF(OR($L284="",$M284=""),"",ROUND($L284-$L284/(1+$M284/100),2))</f>
        <v/>
      </c>
      <c r="O284" s="9" t="n"/>
      <c r="P284" s="9" t="n"/>
      <c r="Q284" s="9" t="n"/>
      <c r="R284" s="9" t="n"/>
      <c r="S284" s="9" t="n"/>
    </row>
    <row r="285">
      <c r="A285" s="9" t="n"/>
      <c r="B285" s="9" t="n"/>
      <c r="C285" s="30" t="n"/>
      <c r="D285" s="9">
        <f>IF($C285="","",YEAR($C285)&amp;"-"&amp;TEXT(MONTH($C285),"00"))</f>
        <v/>
      </c>
      <c r="E285" s="9" t="n"/>
      <c r="F285" s="9" t="n"/>
      <c r="G285" s="9" t="n"/>
      <c r="H285" s="24" t="n"/>
      <c r="I285" s="9" t="n"/>
      <c r="J285" s="24" t="n"/>
      <c r="K285" s="24" t="n"/>
      <c r="L285" s="24">
        <f>IF($H285="","",ROUND($H285*$J285-N($K285),2))</f>
        <v/>
      </c>
      <c r="M285" s="31" t="n"/>
      <c r="N285" s="24">
        <f>IF(OR($L285="",$M285=""),"",ROUND($L285-$L285/(1+$M285/100),2))</f>
        <v/>
      </c>
      <c r="O285" s="9" t="n"/>
      <c r="P285" s="9" t="n"/>
      <c r="Q285" s="9" t="n"/>
      <c r="R285" s="9" t="n"/>
      <c r="S285" s="9" t="n"/>
    </row>
    <row r="286">
      <c r="A286" s="9" t="n"/>
      <c r="B286" s="9" t="n"/>
      <c r="C286" s="30" t="n"/>
      <c r="D286" s="9">
        <f>IF($C286="","",YEAR($C286)&amp;"-"&amp;TEXT(MONTH($C286),"00"))</f>
        <v/>
      </c>
      <c r="E286" s="9" t="n"/>
      <c r="F286" s="9" t="n"/>
      <c r="G286" s="9" t="n"/>
      <c r="H286" s="24" t="n"/>
      <c r="I286" s="9" t="n"/>
      <c r="J286" s="24" t="n"/>
      <c r="K286" s="24" t="n"/>
      <c r="L286" s="24">
        <f>IF($H286="","",ROUND($H286*$J286-N($K286),2))</f>
        <v/>
      </c>
      <c r="M286" s="31" t="n"/>
      <c r="N286" s="24">
        <f>IF(OR($L286="",$M286=""),"",ROUND($L286-$L286/(1+$M286/100),2))</f>
        <v/>
      </c>
      <c r="O286" s="9" t="n"/>
      <c r="P286" s="9" t="n"/>
      <c r="Q286" s="9" t="n"/>
      <c r="R286" s="9" t="n"/>
      <c r="S286" s="9" t="n"/>
    </row>
    <row r="287">
      <c r="A287" s="9" t="n"/>
      <c r="B287" s="9" t="n"/>
      <c r="C287" s="30" t="n"/>
      <c r="D287" s="9">
        <f>IF($C287="","",YEAR($C287)&amp;"-"&amp;TEXT(MONTH($C287),"00"))</f>
        <v/>
      </c>
      <c r="E287" s="9" t="n"/>
      <c r="F287" s="9" t="n"/>
      <c r="G287" s="9" t="n"/>
      <c r="H287" s="24" t="n"/>
      <c r="I287" s="9" t="n"/>
      <c r="J287" s="24" t="n"/>
      <c r="K287" s="24" t="n"/>
      <c r="L287" s="24">
        <f>IF($H287="","",ROUND($H287*$J287-N($K287),2))</f>
        <v/>
      </c>
      <c r="M287" s="31" t="n"/>
      <c r="N287" s="24">
        <f>IF(OR($L287="",$M287=""),"",ROUND($L287-$L287/(1+$M287/100),2))</f>
        <v/>
      </c>
      <c r="O287" s="9" t="n"/>
      <c r="P287" s="9" t="n"/>
      <c r="Q287" s="9" t="n"/>
      <c r="R287" s="9" t="n"/>
      <c r="S287" s="9" t="n"/>
    </row>
    <row r="288">
      <c r="A288" s="9" t="n"/>
      <c r="B288" s="9" t="n"/>
      <c r="C288" s="30" t="n"/>
      <c r="D288" s="9">
        <f>IF($C288="","",YEAR($C288)&amp;"-"&amp;TEXT(MONTH($C288),"00"))</f>
        <v/>
      </c>
      <c r="E288" s="9" t="n"/>
      <c r="F288" s="9" t="n"/>
      <c r="G288" s="9" t="n"/>
      <c r="H288" s="24" t="n"/>
      <c r="I288" s="9" t="n"/>
      <c r="J288" s="24" t="n"/>
      <c r="K288" s="24" t="n"/>
      <c r="L288" s="24">
        <f>IF($H288="","",ROUND($H288*$J288-N($K288),2))</f>
        <v/>
      </c>
      <c r="M288" s="31" t="n"/>
      <c r="N288" s="24">
        <f>IF(OR($L288="",$M288=""),"",ROUND($L288-$L288/(1+$M288/100),2))</f>
        <v/>
      </c>
      <c r="O288" s="9" t="n"/>
      <c r="P288" s="9" t="n"/>
      <c r="Q288" s="9" t="n"/>
      <c r="R288" s="9" t="n"/>
      <c r="S288" s="9" t="n"/>
    </row>
    <row r="289">
      <c r="A289" s="9" t="n"/>
      <c r="B289" s="9" t="n"/>
      <c r="C289" s="30" t="n"/>
      <c r="D289" s="9">
        <f>IF($C289="","",YEAR($C289)&amp;"-"&amp;TEXT(MONTH($C289),"00"))</f>
        <v/>
      </c>
      <c r="E289" s="9" t="n"/>
      <c r="F289" s="9" t="n"/>
      <c r="G289" s="9" t="n"/>
      <c r="H289" s="24" t="n"/>
      <c r="I289" s="9" t="n"/>
      <c r="J289" s="24" t="n"/>
      <c r="K289" s="24" t="n"/>
      <c r="L289" s="24">
        <f>IF($H289="","",ROUND($H289*$J289-N($K289),2))</f>
        <v/>
      </c>
      <c r="M289" s="31" t="n"/>
      <c r="N289" s="24">
        <f>IF(OR($L289="",$M289=""),"",ROUND($L289-$L289/(1+$M289/100),2))</f>
        <v/>
      </c>
      <c r="O289" s="9" t="n"/>
      <c r="P289" s="9" t="n"/>
      <c r="Q289" s="9" t="n"/>
      <c r="R289" s="9" t="n"/>
      <c r="S289" s="9" t="n"/>
    </row>
    <row r="290">
      <c r="A290" s="9" t="n"/>
      <c r="B290" s="9" t="n"/>
      <c r="C290" s="30" t="n"/>
      <c r="D290" s="9">
        <f>IF($C290="","",YEAR($C290)&amp;"-"&amp;TEXT(MONTH($C290),"00"))</f>
        <v/>
      </c>
      <c r="E290" s="9" t="n"/>
      <c r="F290" s="9" t="n"/>
      <c r="G290" s="9" t="n"/>
      <c r="H290" s="24" t="n"/>
      <c r="I290" s="9" t="n"/>
      <c r="J290" s="24" t="n"/>
      <c r="K290" s="24" t="n"/>
      <c r="L290" s="24">
        <f>IF($H290="","",ROUND($H290*$J290-N($K290),2))</f>
        <v/>
      </c>
      <c r="M290" s="31" t="n"/>
      <c r="N290" s="24">
        <f>IF(OR($L290="",$M290=""),"",ROUND($L290-$L290/(1+$M290/100),2))</f>
        <v/>
      </c>
      <c r="O290" s="9" t="n"/>
      <c r="P290" s="9" t="n"/>
      <c r="Q290" s="9" t="n"/>
      <c r="R290" s="9" t="n"/>
      <c r="S290" s="9" t="n"/>
    </row>
    <row r="291">
      <c r="A291" s="9" t="n"/>
      <c r="B291" s="9" t="n"/>
      <c r="C291" s="30" t="n"/>
      <c r="D291" s="9">
        <f>IF($C291="","",YEAR($C291)&amp;"-"&amp;TEXT(MONTH($C291),"00"))</f>
        <v/>
      </c>
      <c r="E291" s="9" t="n"/>
      <c r="F291" s="9" t="n"/>
      <c r="G291" s="9" t="n"/>
      <c r="H291" s="24" t="n"/>
      <c r="I291" s="9" t="n"/>
      <c r="J291" s="24" t="n"/>
      <c r="K291" s="24" t="n"/>
      <c r="L291" s="24">
        <f>IF($H291="","",ROUND($H291*$J291-N($K291),2))</f>
        <v/>
      </c>
      <c r="M291" s="31" t="n"/>
      <c r="N291" s="24">
        <f>IF(OR($L291="",$M291=""),"",ROUND($L291-$L291/(1+$M291/100),2))</f>
        <v/>
      </c>
      <c r="O291" s="9" t="n"/>
      <c r="P291" s="9" t="n"/>
      <c r="Q291" s="9" t="n"/>
      <c r="R291" s="9" t="n"/>
      <c r="S291" s="9" t="n"/>
    </row>
    <row r="292">
      <c r="A292" s="9" t="n"/>
      <c r="B292" s="9" t="n"/>
      <c r="C292" s="30" t="n"/>
      <c r="D292" s="9">
        <f>IF($C292="","",YEAR($C292)&amp;"-"&amp;TEXT(MONTH($C292),"00"))</f>
        <v/>
      </c>
      <c r="E292" s="9" t="n"/>
      <c r="F292" s="9" t="n"/>
      <c r="G292" s="9" t="n"/>
      <c r="H292" s="24" t="n"/>
      <c r="I292" s="9" t="n"/>
      <c r="J292" s="24" t="n"/>
      <c r="K292" s="24" t="n"/>
      <c r="L292" s="24">
        <f>IF($H292="","",ROUND($H292*$J292-N($K292),2))</f>
        <v/>
      </c>
      <c r="M292" s="31" t="n"/>
      <c r="N292" s="24">
        <f>IF(OR($L292="",$M292=""),"",ROUND($L292-$L292/(1+$M292/100),2))</f>
        <v/>
      </c>
      <c r="O292" s="9" t="n"/>
      <c r="P292" s="9" t="n"/>
      <c r="Q292" s="9" t="n"/>
      <c r="R292" s="9" t="n"/>
      <c r="S292" s="9" t="n"/>
    </row>
    <row r="293">
      <c r="A293" s="9" t="n"/>
      <c r="B293" s="9" t="n"/>
      <c r="C293" s="30" t="n"/>
      <c r="D293" s="9">
        <f>IF($C293="","",YEAR($C293)&amp;"-"&amp;TEXT(MONTH($C293),"00"))</f>
        <v/>
      </c>
      <c r="E293" s="9" t="n"/>
      <c r="F293" s="9" t="n"/>
      <c r="G293" s="9" t="n"/>
      <c r="H293" s="24" t="n"/>
      <c r="I293" s="9" t="n"/>
      <c r="J293" s="24" t="n"/>
      <c r="K293" s="24" t="n"/>
      <c r="L293" s="24">
        <f>IF($H293="","",ROUND($H293*$J293-N($K293),2))</f>
        <v/>
      </c>
      <c r="M293" s="31" t="n"/>
      <c r="N293" s="24">
        <f>IF(OR($L293="",$M293=""),"",ROUND($L293-$L293/(1+$M293/100),2))</f>
        <v/>
      </c>
      <c r="O293" s="9" t="n"/>
      <c r="P293" s="9" t="n"/>
      <c r="Q293" s="9" t="n"/>
      <c r="R293" s="9" t="n"/>
      <c r="S293" s="9" t="n"/>
    </row>
    <row r="294">
      <c r="A294" s="9" t="n"/>
      <c r="B294" s="9" t="n"/>
      <c r="C294" s="30" t="n"/>
      <c r="D294" s="9">
        <f>IF($C294="","",YEAR($C294)&amp;"-"&amp;TEXT(MONTH($C294),"00"))</f>
        <v/>
      </c>
      <c r="E294" s="9" t="n"/>
      <c r="F294" s="9" t="n"/>
      <c r="G294" s="9" t="n"/>
      <c r="H294" s="24" t="n"/>
      <c r="I294" s="9" t="n"/>
      <c r="J294" s="24" t="n"/>
      <c r="K294" s="24" t="n"/>
      <c r="L294" s="24">
        <f>IF($H294="","",ROUND($H294*$J294-N($K294),2))</f>
        <v/>
      </c>
      <c r="M294" s="31" t="n"/>
      <c r="N294" s="24">
        <f>IF(OR($L294="",$M294=""),"",ROUND($L294-$L294/(1+$M294/100),2))</f>
        <v/>
      </c>
      <c r="O294" s="9" t="n"/>
      <c r="P294" s="9" t="n"/>
      <c r="Q294" s="9" t="n"/>
      <c r="R294" s="9" t="n"/>
      <c r="S294" s="9" t="n"/>
    </row>
    <row r="295">
      <c r="A295" s="9" t="n"/>
      <c r="B295" s="9" t="n"/>
      <c r="C295" s="30" t="n"/>
      <c r="D295" s="9">
        <f>IF($C295="","",YEAR($C295)&amp;"-"&amp;TEXT(MONTH($C295),"00"))</f>
        <v/>
      </c>
      <c r="E295" s="9" t="n"/>
      <c r="F295" s="9" t="n"/>
      <c r="G295" s="9" t="n"/>
      <c r="H295" s="24" t="n"/>
      <c r="I295" s="9" t="n"/>
      <c r="J295" s="24" t="n"/>
      <c r="K295" s="24" t="n"/>
      <c r="L295" s="24">
        <f>IF($H295="","",ROUND($H295*$J295-N($K295),2))</f>
        <v/>
      </c>
      <c r="M295" s="31" t="n"/>
      <c r="N295" s="24">
        <f>IF(OR($L295="",$M295=""),"",ROUND($L295-$L295/(1+$M295/100),2))</f>
        <v/>
      </c>
      <c r="O295" s="9" t="n"/>
      <c r="P295" s="9" t="n"/>
      <c r="Q295" s="9" t="n"/>
      <c r="R295" s="9" t="n"/>
      <c r="S295" s="9" t="n"/>
    </row>
    <row r="296">
      <c r="A296" s="9" t="n"/>
      <c r="B296" s="9" t="n"/>
      <c r="C296" s="30" t="n"/>
      <c r="D296" s="9">
        <f>IF($C296="","",YEAR($C296)&amp;"-"&amp;TEXT(MONTH($C296),"00"))</f>
        <v/>
      </c>
      <c r="E296" s="9" t="n"/>
      <c r="F296" s="9" t="n"/>
      <c r="G296" s="9" t="n"/>
      <c r="H296" s="24" t="n"/>
      <c r="I296" s="9" t="n"/>
      <c r="J296" s="24" t="n"/>
      <c r="K296" s="24" t="n"/>
      <c r="L296" s="24">
        <f>IF($H296="","",ROUND($H296*$J296-N($K296),2))</f>
        <v/>
      </c>
      <c r="M296" s="31" t="n"/>
      <c r="N296" s="24">
        <f>IF(OR($L296="",$M296=""),"",ROUND($L296-$L296/(1+$M296/100),2))</f>
        <v/>
      </c>
      <c r="O296" s="9" t="n"/>
      <c r="P296" s="9" t="n"/>
      <c r="Q296" s="9" t="n"/>
      <c r="R296" s="9" t="n"/>
      <c r="S296" s="9" t="n"/>
    </row>
    <row r="297">
      <c r="A297" s="9" t="n"/>
      <c r="B297" s="9" t="n"/>
      <c r="C297" s="30" t="n"/>
      <c r="D297" s="9">
        <f>IF($C297="","",YEAR($C297)&amp;"-"&amp;TEXT(MONTH($C297),"00"))</f>
        <v/>
      </c>
      <c r="E297" s="9" t="n"/>
      <c r="F297" s="9" t="n"/>
      <c r="G297" s="9" t="n"/>
      <c r="H297" s="24" t="n"/>
      <c r="I297" s="9" t="n"/>
      <c r="J297" s="24" t="n"/>
      <c r="K297" s="24" t="n"/>
      <c r="L297" s="24">
        <f>IF($H297="","",ROUND($H297*$J297-N($K297),2))</f>
        <v/>
      </c>
      <c r="M297" s="31" t="n"/>
      <c r="N297" s="24">
        <f>IF(OR($L297="",$M297=""),"",ROUND($L297-$L297/(1+$M297/100),2))</f>
        <v/>
      </c>
      <c r="O297" s="9" t="n"/>
      <c r="P297" s="9" t="n"/>
      <c r="Q297" s="9" t="n"/>
      <c r="R297" s="9" t="n"/>
      <c r="S297" s="9" t="n"/>
    </row>
    <row r="298">
      <c r="A298" s="9" t="n"/>
      <c r="B298" s="9" t="n"/>
      <c r="C298" s="30" t="n"/>
      <c r="D298" s="9">
        <f>IF($C298="","",YEAR($C298)&amp;"-"&amp;TEXT(MONTH($C298),"00"))</f>
        <v/>
      </c>
      <c r="E298" s="9" t="n"/>
      <c r="F298" s="9" t="n"/>
      <c r="G298" s="9" t="n"/>
      <c r="H298" s="24" t="n"/>
      <c r="I298" s="9" t="n"/>
      <c r="J298" s="24" t="n"/>
      <c r="K298" s="24" t="n"/>
      <c r="L298" s="24">
        <f>IF($H298="","",ROUND($H298*$J298-N($K298),2))</f>
        <v/>
      </c>
      <c r="M298" s="31" t="n"/>
      <c r="N298" s="24">
        <f>IF(OR($L298="",$M298=""),"",ROUND($L298-$L298/(1+$M298/100),2))</f>
        <v/>
      </c>
      <c r="O298" s="9" t="n"/>
      <c r="P298" s="9" t="n"/>
      <c r="Q298" s="9" t="n"/>
      <c r="R298" s="9" t="n"/>
      <c r="S298" s="9" t="n"/>
    </row>
    <row r="299">
      <c r="A299" s="9" t="n"/>
      <c r="B299" s="9" t="n"/>
      <c r="C299" s="30" t="n"/>
      <c r="D299" s="9">
        <f>IF($C299="","",YEAR($C299)&amp;"-"&amp;TEXT(MONTH($C299),"00"))</f>
        <v/>
      </c>
      <c r="E299" s="9" t="n"/>
      <c r="F299" s="9" t="n"/>
      <c r="G299" s="9" t="n"/>
      <c r="H299" s="24" t="n"/>
      <c r="I299" s="9" t="n"/>
      <c r="J299" s="24" t="n"/>
      <c r="K299" s="24" t="n"/>
      <c r="L299" s="24">
        <f>IF($H299="","",ROUND($H299*$J299-N($K299),2))</f>
        <v/>
      </c>
      <c r="M299" s="31" t="n"/>
      <c r="N299" s="24">
        <f>IF(OR($L299="",$M299=""),"",ROUND($L299-$L299/(1+$M299/100),2))</f>
        <v/>
      </c>
      <c r="O299" s="9" t="n"/>
      <c r="P299" s="9" t="n"/>
      <c r="Q299" s="9" t="n"/>
      <c r="R299" s="9" t="n"/>
      <c r="S299" s="9" t="n"/>
    </row>
    <row r="300">
      <c r="A300" s="9" t="n"/>
      <c r="B300" s="9" t="n"/>
      <c r="C300" s="30" t="n"/>
      <c r="D300" s="9">
        <f>IF($C300="","",YEAR($C300)&amp;"-"&amp;TEXT(MONTH($C300),"00"))</f>
        <v/>
      </c>
      <c r="E300" s="9" t="n"/>
      <c r="F300" s="9" t="n"/>
      <c r="G300" s="9" t="n"/>
      <c r="H300" s="24" t="n"/>
      <c r="I300" s="9" t="n"/>
      <c r="J300" s="24" t="n"/>
      <c r="K300" s="24" t="n"/>
      <c r="L300" s="24">
        <f>IF($H300="","",ROUND($H300*$J300-N($K300),2))</f>
        <v/>
      </c>
      <c r="M300" s="31" t="n"/>
      <c r="N300" s="24">
        <f>IF(OR($L300="",$M300=""),"",ROUND($L300-$L300/(1+$M300/100),2))</f>
        <v/>
      </c>
      <c r="O300" s="9" t="n"/>
      <c r="P300" s="9" t="n"/>
      <c r="Q300" s="9" t="n"/>
      <c r="R300" s="9" t="n"/>
      <c r="S300" s="9" t="n"/>
    </row>
    <row r="301">
      <c r="A301" s="9" t="n"/>
      <c r="B301" s="9" t="n"/>
      <c r="C301" s="30" t="n"/>
      <c r="D301" s="9">
        <f>IF($C301="","",YEAR($C301)&amp;"-"&amp;TEXT(MONTH($C301),"00"))</f>
        <v/>
      </c>
      <c r="E301" s="9" t="n"/>
      <c r="F301" s="9" t="n"/>
      <c r="G301" s="9" t="n"/>
      <c r="H301" s="24" t="n"/>
      <c r="I301" s="9" t="n"/>
      <c r="J301" s="24" t="n"/>
      <c r="K301" s="24" t="n"/>
      <c r="L301" s="24">
        <f>IF($H301="","",ROUND($H301*$J301-N($K301),2))</f>
        <v/>
      </c>
      <c r="M301" s="31" t="n"/>
      <c r="N301" s="24">
        <f>IF(OR($L301="",$M301=""),"",ROUND($L301-$L301/(1+$M301/100),2))</f>
        <v/>
      </c>
      <c r="O301" s="9" t="n"/>
      <c r="P301" s="9" t="n"/>
      <c r="Q301" s="9" t="n"/>
      <c r="R301" s="9" t="n"/>
      <c r="S301" s="9" t="n"/>
    </row>
    <row r="302">
      <c r="A302" s="9" t="n"/>
      <c r="B302" s="9" t="n"/>
      <c r="C302" s="30" t="n"/>
      <c r="D302" s="9">
        <f>IF($C302="","",YEAR($C302)&amp;"-"&amp;TEXT(MONTH($C302),"00"))</f>
        <v/>
      </c>
      <c r="E302" s="9" t="n"/>
      <c r="F302" s="9" t="n"/>
      <c r="G302" s="9" t="n"/>
      <c r="H302" s="24" t="n"/>
      <c r="I302" s="9" t="n"/>
      <c r="J302" s="24" t="n"/>
      <c r="K302" s="24" t="n"/>
      <c r="L302" s="24">
        <f>IF($H302="","",ROUND($H302*$J302-N($K302),2))</f>
        <v/>
      </c>
      <c r="M302" s="31" t="n"/>
      <c r="N302" s="24">
        <f>IF(OR($L302="",$M302=""),"",ROUND($L302-$L302/(1+$M302/100),2))</f>
        <v/>
      </c>
      <c r="O302" s="9" t="n"/>
      <c r="P302" s="9" t="n"/>
      <c r="Q302" s="9" t="n"/>
      <c r="R302" s="9" t="n"/>
      <c r="S302" s="9" t="n"/>
    </row>
    <row r="303">
      <c r="A303" s="9" t="n"/>
      <c r="B303" s="9" t="n"/>
      <c r="C303" s="30" t="n"/>
      <c r="D303" s="9">
        <f>IF($C303="","",YEAR($C303)&amp;"-"&amp;TEXT(MONTH($C303),"00"))</f>
        <v/>
      </c>
      <c r="E303" s="9" t="n"/>
      <c r="F303" s="9" t="n"/>
      <c r="G303" s="9" t="n"/>
      <c r="H303" s="24" t="n"/>
      <c r="I303" s="9" t="n"/>
      <c r="J303" s="24" t="n"/>
      <c r="K303" s="24" t="n"/>
      <c r="L303" s="24">
        <f>IF($H303="","",ROUND($H303*$J303-N($K303),2))</f>
        <v/>
      </c>
      <c r="M303" s="31" t="n"/>
      <c r="N303" s="24">
        <f>IF(OR($L303="",$M303=""),"",ROUND($L303-$L303/(1+$M303/100),2))</f>
        <v/>
      </c>
      <c r="O303" s="9" t="n"/>
      <c r="P303" s="9" t="n"/>
      <c r="Q303" s="9" t="n"/>
      <c r="R303" s="9" t="n"/>
      <c r="S303" s="9" t="n"/>
    </row>
    <row r="304">
      <c r="A304" s="9" t="n"/>
      <c r="B304" s="9" t="n"/>
      <c r="C304" s="30" t="n"/>
      <c r="D304" s="9">
        <f>IF($C304="","",YEAR($C304)&amp;"-"&amp;TEXT(MONTH($C304),"00"))</f>
        <v/>
      </c>
      <c r="E304" s="9" t="n"/>
      <c r="F304" s="9" t="n"/>
      <c r="G304" s="9" t="n"/>
      <c r="H304" s="24" t="n"/>
      <c r="I304" s="9" t="n"/>
      <c r="J304" s="24" t="n"/>
      <c r="K304" s="24" t="n"/>
      <c r="L304" s="24">
        <f>IF($H304="","",ROUND($H304*$J304-N($K304),2))</f>
        <v/>
      </c>
      <c r="M304" s="31" t="n"/>
      <c r="N304" s="24">
        <f>IF(OR($L304="",$M304=""),"",ROUND($L304-$L304/(1+$M304/100),2))</f>
        <v/>
      </c>
      <c r="O304" s="9" t="n"/>
      <c r="P304" s="9" t="n"/>
      <c r="Q304" s="9" t="n"/>
      <c r="R304" s="9" t="n"/>
      <c r="S304" s="9" t="n"/>
    </row>
    <row r="305">
      <c r="A305" s="9" t="n"/>
      <c r="B305" s="9" t="n"/>
      <c r="C305" s="30" t="n"/>
      <c r="D305" s="9">
        <f>IF($C305="","",YEAR($C305)&amp;"-"&amp;TEXT(MONTH($C305),"00"))</f>
        <v/>
      </c>
      <c r="E305" s="9" t="n"/>
      <c r="F305" s="9" t="n"/>
      <c r="G305" s="9" t="n"/>
      <c r="H305" s="24" t="n"/>
      <c r="I305" s="9" t="n"/>
      <c r="J305" s="24" t="n"/>
      <c r="K305" s="24" t="n"/>
      <c r="L305" s="24">
        <f>IF($H305="","",ROUND($H305*$J305-N($K305),2))</f>
        <v/>
      </c>
      <c r="M305" s="31" t="n"/>
      <c r="N305" s="24">
        <f>IF(OR($L305="",$M305=""),"",ROUND($L305-$L305/(1+$M305/100),2))</f>
        <v/>
      </c>
      <c r="O305" s="9" t="n"/>
      <c r="P305" s="9" t="n"/>
      <c r="Q305" s="9" t="n"/>
      <c r="R305" s="9" t="n"/>
      <c r="S305" s="9" t="n"/>
    </row>
    <row r="306">
      <c r="A306" s="9" t="n"/>
      <c r="B306" s="9" t="n"/>
      <c r="C306" s="30" t="n"/>
      <c r="D306" s="9">
        <f>IF($C306="","",YEAR($C306)&amp;"-"&amp;TEXT(MONTH($C306),"00"))</f>
        <v/>
      </c>
      <c r="E306" s="9" t="n"/>
      <c r="F306" s="9" t="n"/>
      <c r="G306" s="9" t="n"/>
      <c r="H306" s="24" t="n"/>
      <c r="I306" s="9" t="n"/>
      <c r="J306" s="24" t="n"/>
      <c r="K306" s="24" t="n"/>
      <c r="L306" s="24">
        <f>IF($H306="","",ROUND($H306*$J306-N($K306),2))</f>
        <v/>
      </c>
      <c r="M306" s="31" t="n"/>
      <c r="N306" s="24">
        <f>IF(OR($L306="",$M306=""),"",ROUND($L306-$L306/(1+$M306/100),2))</f>
        <v/>
      </c>
      <c r="O306" s="9" t="n"/>
      <c r="P306" s="9" t="n"/>
      <c r="Q306" s="9" t="n"/>
      <c r="R306" s="9" t="n"/>
      <c r="S306" s="9" t="n"/>
    </row>
    <row r="307">
      <c r="A307" s="9" t="n"/>
      <c r="B307" s="9" t="n"/>
      <c r="C307" s="30" t="n"/>
      <c r="D307" s="9">
        <f>IF($C307="","",YEAR($C307)&amp;"-"&amp;TEXT(MONTH($C307),"00"))</f>
        <v/>
      </c>
      <c r="E307" s="9" t="n"/>
      <c r="F307" s="9" t="n"/>
      <c r="G307" s="9" t="n"/>
      <c r="H307" s="24" t="n"/>
      <c r="I307" s="9" t="n"/>
      <c r="J307" s="24" t="n"/>
      <c r="K307" s="24" t="n"/>
      <c r="L307" s="24">
        <f>IF($H307="","",ROUND($H307*$J307-N($K307),2))</f>
        <v/>
      </c>
      <c r="M307" s="31" t="n"/>
      <c r="N307" s="24">
        <f>IF(OR($L307="",$M307=""),"",ROUND($L307-$L307/(1+$M307/100),2))</f>
        <v/>
      </c>
      <c r="O307" s="9" t="n"/>
      <c r="P307" s="9" t="n"/>
      <c r="Q307" s="9" t="n"/>
      <c r="R307" s="9" t="n"/>
      <c r="S307" s="9" t="n"/>
    </row>
    <row r="308">
      <c r="A308" s="9" t="n"/>
      <c r="B308" s="9" t="n"/>
      <c r="C308" s="30" t="n"/>
      <c r="D308" s="9">
        <f>IF($C308="","",YEAR($C308)&amp;"-"&amp;TEXT(MONTH($C308),"00"))</f>
        <v/>
      </c>
      <c r="E308" s="9" t="n"/>
      <c r="F308" s="9" t="n"/>
      <c r="G308" s="9" t="n"/>
      <c r="H308" s="24" t="n"/>
      <c r="I308" s="9" t="n"/>
      <c r="J308" s="24" t="n"/>
      <c r="K308" s="24" t="n"/>
      <c r="L308" s="24">
        <f>IF($H308="","",ROUND($H308*$J308-N($K308),2))</f>
        <v/>
      </c>
      <c r="M308" s="31" t="n"/>
      <c r="N308" s="24">
        <f>IF(OR($L308="",$M308=""),"",ROUND($L308-$L308/(1+$M308/100),2))</f>
        <v/>
      </c>
      <c r="O308" s="9" t="n"/>
      <c r="P308" s="9" t="n"/>
      <c r="Q308" s="9" t="n"/>
      <c r="R308" s="9" t="n"/>
      <c r="S308" s="9" t="n"/>
    </row>
    <row r="309">
      <c r="A309" s="9" t="n"/>
      <c r="B309" s="9" t="n"/>
      <c r="C309" s="30" t="n"/>
      <c r="D309" s="9">
        <f>IF($C309="","",YEAR($C309)&amp;"-"&amp;TEXT(MONTH($C309),"00"))</f>
        <v/>
      </c>
      <c r="E309" s="9" t="n"/>
      <c r="F309" s="9" t="n"/>
      <c r="G309" s="9" t="n"/>
      <c r="H309" s="24" t="n"/>
      <c r="I309" s="9" t="n"/>
      <c r="J309" s="24" t="n"/>
      <c r="K309" s="24" t="n"/>
      <c r="L309" s="24">
        <f>IF($H309="","",ROUND($H309*$J309-N($K309),2))</f>
        <v/>
      </c>
      <c r="M309" s="31" t="n"/>
      <c r="N309" s="24">
        <f>IF(OR($L309="",$M309=""),"",ROUND($L309-$L309/(1+$M309/100),2))</f>
        <v/>
      </c>
      <c r="O309" s="9" t="n"/>
      <c r="P309" s="9" t="n"/>
      <c r="Q309" s="9" t="n"/>
      <c r="R309" s="9" t="n"/>
      <c r="S309" s="9" t="n"/>
    </row>
    <row r="310">
      <c r="A310" s="9" t="n"/>
      <c r="B310" s="9" t="n"/>
      <c r="C310" s="30" t="n"/>
      <c r="D310" s="9">
        <f>IF($C310="","",YEAR($C310)&amp;"-"&amp;TEXT(MONTH($C310),"00"))</f>
        <v/>
      </c>
      <c r="E310" s="9" t="n"/>
      <c r="F310" s="9" t="n"/>
      <c r="G310" s="9" t="n"/>
      <c r="H310" s="24" t="n"/>
      <c r="I310" s="9" t="n"/>
      <c r="J310" s="24" t="n"/>
      <c r="K310" s="24" t="n"/>
      <c r="L310" s="24">
        <f>IF($H310="","",ROUND($H310*$J310-N($K310),2))</f>
        <v/>
      </c>
      <c r="M310" s="31" t="n"/>
      <c r="N310" s="24">
        <f>IF(OR($L310="",$M310=""),"",ROUND($L310-$L310/(1+$M310/100),2))</f>
        <v/>
      </c>
      <c r="O310" s="9" t="n"/>
      <c r="P310" s="9" t="n"/>
      <c r="Q310" s="9" t="n"/>
      <c r="R310" s="9" t="n"/>
      <c r="S310" s="9" t="n"/>
    </row>
    <row r="311">
      <c r="A311" s="9" t="n"/>
      <c r="B311" s="9" t="n"/>
      <c r="C311" s="30" t="n"/>
      <c r="D311" s="9">
        <f>IF($C311="","",YEAR($C311)&amp;"-"&amp;TEXT(MONTH($C311),"00"))</f>
        <v/>
      </c>
      <c r="E311" s="9" t="n"/>
      <c r="F311" s="9" t="n"/>
      <c r="G311" s="9" t="n"/>
      <c r="H311" s="24" t="n"/>
      <c r="I311" s="9" t="n"/>
      <c r="J311" s="24" t="n"/>
      <c r="K311" s="24" t="n"/>
      <c r="L311" s="24">
        <f>IF($H311="","",ROUND($H311*$J311-N($K311),2))</f>
        <v/>
      </c>
      <c r="M311" s="31" t="n"/>
      <c r="N311" s="24">
        <f>IF(OR($L311="",$M311=""),"",ROUND($L311-$L311/(1+$M311/100),2))</f>
        <v/>
      </c>
      <c r="O311" s="9" t="n"/>
      <c r="P311" s="9" t="n"/>
      <c r="Q311" s="9" t="n"/>
      <c r="R311" s="9" t="n"/>
      <c r="S311" s="9" t="n"/>
    </row>
    <row r="312">
      <c r="A312" s="9" t="n"/>
      <c r="B312" s="9" t="n"/>
      <c r="C312" s="30" t="n"/>
      <c r="D312" s="9">
        <f>IF($C312="","",YEAR($C312)&amp;"-"&amp;TEXT(MONTH($C312),"00"))</f>
        <v/>
      </c>
      <c r="E312" s="9" t="n"/>
      <c r="F312" s="9" t="n"/>
      <c r="G312" s="9" t="n"/>
      <c r="H312" s="24" t="n"/>
      <c r="I312" s="9" t="n"/>
      <c r="J312" s="24" t="n"/>
      <c r="K312" s="24" t="n"/>
      <c r="L312" s="24">
        <f>IF($H312="","",ROUND($H312*$J312-N($K312),2))</f>
        <v/>
      </c>
      <c r="M312" s="31" t="n"/>
      <c r="N312" s="24">
        <f>IF(OR($L312="",$M312=""),"",ROUND($L312-$L312/(1+$M312/100),2))</f>
        <v/>
      </c>
      <c r="O312" s="9" t="n"/>
      <c r="P312" s="9" t="n"/>
      <c r="Q312" s="9" t="n"/>
      <c r="R312" s="9" t="n"/>
      <c r="S312" s="9" t="n"/>
    </row>
    <row r="313">
      <c r="A313" s="9" t="n"/>
      <c r="B313" s="9" t="n"/>
      <c r="C313" s="30" t="n"/>
      <c r="D313" s="9">
        <f>IF($C313="","",YEAR($C313)&amp;"-"&amp;TEXT(MONTH($C313),"00"))</f>
        <v/>
      </c>
      <c r="E313" s="9" t="n"/>
      <c r="F313" s="9" t="n"/>
      <c r="G313" s="9" t="n"/>
      <c r="H313" s="24" t="n"/>
      <c r="I313" s="9" t="n"/>
      <c r="J313" s="24" t="n"/>
      <c r="K313" s="24" t="n"/>
      <c r="L313" s="24">
        <f>IF($H313="","",ROUND($H313*$J313-N($K313),2))</f>
        <v/>
      </c>
      <c r="M313" s="31" t="n"/>
      <c r="N313" s="24">
        <f>IF(OR($L313="",$M313=""),"",ROUND($L313-$L313/(1+$M313/100),2))</f>
        <v/>
      </c>
      <c r="O313" s="9" t="n"/>
      <c r="P313" s="9" t="n"/>
      <c r="Q313" s="9" t="n"/>
      <c r="R313" s="9" t="n"/>
      <c r="S313" s="9" t="n"/>
    </row>
    <row r="314">
      <c r="A314" s="9" t="n"/>
      <c r="B314" s="9" t="n"/>
      <c r="C314" s="30" t="n"/>
      <c r="D314" s="9">
        <f>IF($C314="","",YEAR($C314)&amp;"-"&amp;TEXT(MONTH($C314),"00"))</f>
        <v/>
      </c>
      <c r="E314" s="9" t="n"/>
      <c r="F314" s="9" t="n"/>
      <c r="G314" s="9" t="n"/>
      <c r="H314" s="24" t="n"/>
      <c r="I314" s="9" t="n"/>
      <c r="J314" s="24" t="n"/>
      <c r="K314" s="24" t="n"/>
      <c r="L314" s="24">
        <f>IF($H314="","",ROUND($H314*$J314-N($K314),2))</f>
        <v/>
      </c>
      <c r="M314" s="31" t="n"/>
      <c r="N314" s="24">
        <f>IF(OR($L314="",$M314=""),"",ROUND($L314-$L314/(1+$M314/100),2))</f>
        <v/>
      </c>
      <c r="O314" s="9" t="n"/>
      <c r="P314" s="9" t="n"/>
      <c r="Q314" s="9" t="n"/>
      <c r="R314" s="9" t="n"/>
      <c r="S314" s="9" t="n"/>
    </row>
    <row r="315">
      <c r="A315" s="9" t="n"/>
      <c r="B315" s="9" t="n"/>
      <c r="C315" s="30" t="n"/>
      <c r="D315" s="9">
        <f>IF($C315="","",YEAR($C315)&amp;"-"&amp;TEXT(MONTH($C315),"00"))</f>
        <v/>
      </c>
      <c r="E315" s="9" t="n"/>
      <c r="F315" s="9" t="n"/>
      <c r="G315" s="9" t="n"/>
      <c r="H315" s="24" t="n"/>
      <c r="I315" s="9" t="n"/>
      <c r="J315" s="24" t="n"/>
      <c r="K315" s="24" t="n"/>
      <c r="L315" s="24">
        <f>IF($H315="","",ROUND($H315*$J315-N($K315),2))</f>
        <v/>
      </c>
      <c r="M315" s="31" t="n"/>
      <c r="N315" s="24">
        <f>IF(OR($L315="",$M315=""),"",ROUND($L315-$L315/(1+$M315/100),2))</f>
        <v/>
      </c>
      <c r="O315" s="9" t="n"/>
      <c r="P315" s="9" t="n"/>
      <c r="Q315" s="9" t="n"/>
      <c r="R315" s="9" t="n"/>
      <c r="S315" s="9" t="n"/>
    </row>
    <row r="316">
      <c r="A316" s="9" t="n"/>
      <c r="B316" s="9" t="n"/>
      <c r="C316" s="30" t="n"/>
      <c r="D316" s="9">
        <f>IF($C316="","",YEAR($C316)&amp;"-"&amp;TEXT(MONTH($C316),"00"))</f>
        <v/>
      </c>
      <c r="E316" s="9" t="n"/>
      <c r="F316" s="9" t="n"/>
      <c r="G316" s="9" t="n"/>
      <c r="H316" s="24" t="n"/>
      <c r="I316" s="9" t="n"/>
      <c r="J316" s="24" t="n"/>
      <c r="K316" s="24" t="n"/>
      <c r="L316" s="24">
        <f>IF($H316="","",ROUND($H316*$J316-N($K316),2))</f>
        <v/>
      </c>
      <c r="M316" s="31" t="n"/>
      <c r="N316" s="24">
        <f>IF(OR($L316="",$M316=""),"",ROUND($L316-$L316/(1+$M316/100),2))</f>
        <v/>
      </c>
      <c r="O316" s="9" t="n"/>
      <c r="P316" s="9" t="n"/>
      <c r="Q316" s="9" t="n"/>
      <c r="R316" s="9" t="n"/>
      <c r="S316" s="9" t="n"/>
    </row>
    <row r="317">
      <c r="A317" s="9" t="n"/>
      <c r="B317" s="9" t="n"/>
      <c r="C317" s="30" t="n"/>
      <c r="D317" s="9">
        <f>IF($C317="","",YEAR($C317)&amp;"-"&amp;TEXT(MONTH($C317),"00"))</f>
        <v/>
      </c>
      <c r="E317" s="9" t="n"/>
      <c r="F317" s="9" t="n"/>
      <c r="G317" s="9" t="n"/>
      <c r="H317" s="24" t="n"/>
      <c r="I317" s="9" t="n"/>
      <c r="J317" s="24" t="n"/>
      <c r="K317" s="24" t="n"/>
      <c r="L317" s="24">
        <f>IF($H317="","",ROUND($H317*$J317-N($K317),2))</f>
        <v/>
      </c>
      <c r="M317" s="31" t="n"/>
      <c r="N317" s="24">
        <f>IF(OR($L317="",$M317=""),"",ROUND($L317-$L317/(1+$M317/100),2))</f>
        <v/>
      </c>
      <c r="O317" s="9" t="n"/>
      <c r="P317" s="9" t="n"/>
      <c r="Q317" s="9" t="n"/>
      <c r="R317" s="9" t="n"/>
      <c r="S317" s="9" t="n"/>
    </row>
    <row r="318">
      <c r="A318" s="9" t="n"/>
      <c r="B318" s="9" t="n"/>
      <c r="C318" s="30" t="n"/>
      <c r="D318" s="9">
        <f>IF($C318="","",YEAR($C318)&amp;"-"&amp;TEXT(MONTH($C318),"00"))</f>
        <v/>
      </c>
      <c r="E318" s="9" t="n"/>
      <c r="F318" s="9" t="n"/>
      <c r="G318" s="9" t="n"/>
      <c r="H318" s="24" t="n"/>
      <c r="I318" s="9" t="n"/>
      <c r="J318" s="24" t="n"/>
      <c r="K318" s="24" t="n"/>
      <c r="L318" s="24">
        <f>IF($H318="","",ROUND($H318*$J318-N($K318),2))</f>
        <v/>
      </c>
      <c r="M318" s="31" t="n"/>
      <c r="N318" s="24">
        <f>IF(OR($L318="",$M318=""),"",ROUND($L318-$L318/(1+$M318/100),2))</f>
        <v/>
      </c>
      <c r="O318" s="9" t="n"/>
      <c r="P318" s="9" t="n"/>
      <c r="Q318" s="9" t="n"/>
      <c r="R318" s="9" t="n"/>
      <c r="S318" s="9" t="n"/>
    </row>
    <row r="319">
      <c r="A319" s="9" t="n"/>
      <c r="B319" s="9" t="n"/>
      <c r="C319" s="30" t="n"/>
      <c r="D319" s="9">
        <f>IF($C319="","",YEAR($C319)&amp;"-"&amp;TEXT(MONTH($C319),"00"))</f>
        <v/>
      </c>
      <c r="E319" s="9" t="n"/>
      <c r="F319" s="9" t="n"/>
      <c r="G319" s="9" t="n"/>
      <c r="H319" s="24" t="n"/>
      <c r="I319" s="9" t="n"/>
      <c r="J319" s="24" t="n"/>
      <c r="K319" s="24" t="n"/>
      <c r="L319" s="24">
        <f>IF($H319="","",ROUND($H319*$J319-N($K319),2))</f>
        <v/>
      </c>
      <c r="M319" s="31" t="n"/>
      <c r="N319" s="24">
        <f>IF(OR($L319="",$M319=""),"",ROUND($L319-$L319/(1+$M319/100),2))</f>
        <v/>
      </c>
      <c r="O319" s="9" t="n"/>
      <c r="P319" s="9" t="n"/>
      <c r="Q319" s="9" t="n"/>
      <c r="R319" s="9" t="n"/>
      <c r="S319" s="9" t="n"/>
    </row>
    <row r="320">
      <c r="A320" s="9" t="n"/>
      <c r="B320" s="9" t="n"/>
      <c r="C320" s="30" t="n"/>
      <c r="D320" s="9">
        <f>IF($C320="","",YEAR($C320)&amp;"-"&amp;TEXT(MONTH($C320),"00"))</f>
        <v/>
      </c>
      <c r="E320" s="9" t="n"/>
      <c r="F320" s="9" t="n"/>
      <c r="G320" s="9" t="n"/>
      <c r="H320" s="24" t="n"/>
      <c r="I320" s="9" t="n"/>
      <c r="J320" s="24" t="n"/>
      <c r="K320" s="24" t="n"/>
      <c r="L320" s="24">
        <f>IF($H320="","",ROUND($H320*$J320-N($K320),2))</f>
        <v/>
      </c>
      <c r="M320" s="31" t="n"/>
      <c r="N320" s="24">
        <f>IF(OR($L320="",$M320=""),"",ROUND($L320-$L320/(1+$M320/100),2))</f>
        <v/>
      </c>
      <c r="O320" s="9" t="n"/>
      <c r="P320" s="9" t="n"/>
      <c r="Q320" s="9" t="n"/>
      <c r="R320" s="9" t="n"/>
      <c r="S320" s="9" t="n"/>
    </row>
    <row r="321">
      <c r="A321" s="9" t="n"/>
      <c r="B321" s="9" t="n"/>
      <c r="C321" s="30" t="n"/>
      <c r="D321" s="9">
        <f>IF($C321="","",YEAR($C321)&amp;"-"&amp;TEXT(MONTH($C321),"00"))</f>
        <v/>
      </c>
      <c r="E321" s="9" t="n"/>
      <c r="F321" s="9" t="n"/>
      <c r="G321" s="9" t="n"/>
      <c r="H321" s="24" t="n"/>
      <c r="I321" s="9" t="n"/>
      <c r="J321" s="24" t="n"/>
      <c r="K321" s="24" t="n"/>
      <c r="L321" s="24">
        <f>IF($H321="","",ROUND($H321*$J321-N($K321),2))</f>
        <v/>
      </c>
      <c r="M321" s="31" t="n"/>
      <c r="N321" s="24">
        <f>IF(OR($L321="",$M321=""),"",ROUND($L321-$L321/(1+$M321/100),2))</f>
        <v/>
      </c>
      <c r="O321" s="9" t="n"/>
      <c r="P321" s="9" t="n"/>
      <c r="Q321" s="9" t="n"/>
      <c r="R321" s="9" t="n"/>
      <c r="S321" s="9" t="n"/>
    </row>
    <row r="322">
      <c r="A322" s="9" t="n"/>
      <c r="B322" s="9" t="n"/>
      <c r="C322" s="30" t="n"/>
      <c r="D322" s="9">
        <f>IF($C322="","",YEAR($C322)&amp;"-"&amp;TEXT(MONTH($C322),"00"))</f>
        <v/>
      </c>
      <c r="E322" s="9" t="n"/>
      <c r="F322" s="9" t="n"/>
      <c r="G322" s="9" t="n"/>
      <c r="H322" s="24" t="n"/>
      <c r="I322" s="9" t="n"/>
      <c r="J322" s="24" t="n"/>
      <c r="K322" s="24" t="n"/>
      <c r="L322" s="24">
        <f>IF($H322="","",ROUND($H322*$J322-N($K322),2))</f>
        <v/>
      </c>
      <c r="M322" s="31" t="n"/>
      <c r="N322" s="24">
        <f>IF(OR($L322="",$M322=""),"",ROUND($L322-$L322/(1+$M322/100),2))</f>
        <v/>
      </c>
      <c r="O322" s="9" t="n"/>
      <c r="P322" s="9" t="n"/>
      <c r="Q322" s="9" t="n"/>
      <c r="R322" s="9" t="n"/>
      <c r="S322" s="9" t="n"/>
    </row>
    <row r="323">
      <c r="A323" s="9" t="n"/>
      <c r="B323" s="9" t="n"/>
      <c r="C323" s="30" t="n"/>
      <c r="D323" s="9">
        <f>IF($C323="","",YEAR($C323)&amp;"-"&amp;TEXT(MONTH($C323),"00"))</f>
        <v/>
      </c>
      <c r="E323" s="9" t="n"/>
      <c r="F323" s="9" t="n"/>
      <c r="G323" s="9" t="n"/>
      <c r="H323" s="24" t="n"/>
      <c r="I323" s="9" t="n"/>
      <c r="J323" s="24" t="n"/>
      <c r="K323" s="24" t="n"/>
      <c r="L323" s="24">
        <f>IF($H323="","",ROUND($H323*$J323-N($K323),2))</f>
        <v/>
      </c>
      <c r="M323" s="31" t="n"/>
      <c r="N323" s="24">
        <f>IF(OR($L323="",$M323=""),"",ROUND($L323-$L323/(1+$M323/100),2))</f>
        <v/>
      </c>
      <c r="O323" s="9" t="n"/>
      <c r="P323" s="9" t="n"/>
      <c r="Q323" s="9" t="n"/>
      <c r="R323" s="9" t="n"/>
      <c r="S323" s="9" t="n"/>
    </row>
    <row r="324">
      <c r="A324" s="9" t="n"/>
      <c r="B324" s="9" t="n"/>
      <c r="C324" s="30" t="n"/>
      <c r="D324" s="9">
        <f>IF($C324="","",YEAR($C324)&amp;"-"&amp;TEXT(MONTH($C324),"00"))</f>
        <v/>
      </c>
      <c r="E324" s="9" t="n"/>
      <c r="F324" s="9" t="n"/>
      <c r="G324" s="9" t="n"/>
      <c r="H324" s="24" t="n"/>
      <c r="I324" s="9" t="n"/>
      <c r="J324" s="24" t="n"/>
      <c r="K324" s="24" t="n"/>
      <c r="L324" s="24">
        <f>IF($H324="","",ROUND($H324*$J324-N($K324),2))</f>
        <v/>
      </c>
      <c r="M324" s="31" t="n"/>
      <c r="N324" s="24">
        <f>IF(OR($L324="",$M324=""),"",ROUND($L324-$L324/(1+$M324/100),2))</f>
        <v/>
      </c>
      <c r="O324" s="9" t="n"/>
      <c r="P324" s="9" t="n"/>
      <c r="Q324" s="9" t="n"/>
      <c r="R324" s="9" t="n"/>
      <c r="S324" s="9" t="n"/>
    </row>
    <row r="325">
      <c r="A325" s="9" t="n"/>
      <c r="B325" s="9" t="n"/>
      <c r="C325" s="30" t="n"/>
      <c r="D325" s="9">
        <f>IF($C325="","",YEAR($C325)&amp;"-"&amp;TEXT(MONTH($C325),"00"))</f>
        <v/>
      </c>
      <c r="E325" s="9" t="n"/>
      <c r="F325" s="9" t="n"/>
      <c r="G325" s="9" t="n"/>
      <c r="H325" s="24" t="n"/>
      <c r="I325" s="9" t="n"/>
      <c r="J325" s="24" t="n"/>
      <c r="K325" s="24" t="n"/>
      <c r="L325" s="24">
        <f>IF($H325="","",ROUND($H325*$J325-N($K325),2))</f>
        <v/>
      </c>
      <c r="M325" s="31" t="n"/>
      <c r="N325" s="24">
        <f>IF(OR($L325="",$M325=""),"",ROUND($L325-$L325/(1+$M325/100),2))</f>
        <v/>
      </c>
      <c r="O325" s="9" t="n"/>
      <c r="P325" s="9" t="n"/>
      <c r="Q325" s="9" t="n"/>
      <c r="R325" s="9" t="n"/>
      <c r="S325" s="9" t="n"/>
    </row>
    <row r="326">
      <c r="A326" s="9" t="n"/>
      <c r="B326" s="9" t="n"/>
      <c r="C326" s="30" t="n"/>
      <c r="D326" s="9">
        <f>IF($C326="","",YEAR($C326)&amp;"-"&amp;TEXT(MONTH($C326),"00"))</f>
        <v/>
      </c>
      <c r="E326" s="9" t="n"/>
      <c r="F326" s="9" t="n"/>
      <c r="G326" s="9" t="n"/>
      <c r="H326" s="24" t="n"/>
      <c r="I326" s="9" t="n"/>
      <c r="J326" s="24" t="n"/>
      <c r="K326" s="24" t="n"/>
      <c r="L326" s="24">
        <f>IF($H326="","",ROUND($H326*$J326-N($K326),2))</f>
        <v/>
      </c>
      <c r="M326" s="31" t="n"/>
      <c r="N326" s="24">
        <f>IF(OR($L326="",$M326=""),"",ROUND($L326-$L326/(1+$M326/100),2))</f>
        <v/>
      </c>
      <c r="O326" s="9" t="n"/>
      <c r="P326" s="9" t="n"/>
      <c r="Q326" s="9" t="n"/>
      <c r="R326" s="9" t="n"/>
      <c r="S326" s="9" t="n"/>
    </row>
    <row r="327">
      <c r="A327" s="9" t="n"/>
      <c r="B327" s="9" t="n"/>
      <c r="C327" s="30" t="n"/>
      <c r="D327" s="9">
        <f>IF($C327="","",YEAR($C327)&amp;"-"&amp;TEXT(MONTH($C327),"00"))</f>
        <v/>
      </c>
      <c r="E327" s="9" t="n"/>
      <c r="F327" s="9" t="n"/>
      <c r="G327" s="9" t="n"/>
      <c r="H327" s="24" t="n"/>
      <c r="I327" s="9" t="n"/>
      <c r="J327" s="24" t="n"/>
      <c r="K327" s="24" t="n"/>
      <c r="L327" s="24">
        <f>IF($H327="","",ROUND($H327*$J327-N($K327),2))</f>
        <v/>
      </c>
      <c r="M327" s="31" t="n"/>
      <c r="N327" s="24">
        <f>IF(OR($L327="",$M327=""),"",ROUND($L327-$L327/(1+$M327/100),2))</f>
        <v/>
      </c>
      <c r="O327" s="9" t="n"/>
      <c r="P327" s="9" t="n"/>
      <c r="Q327" s="9" t="n"/>
      <c r="R327" s="9" t="n"/>
      <c r="S327" s="9" t="n"/>
    </row>
    <row r="328">
      <c r="A328" s="9" t="n"/>
      <c r="B328" s="9" t="n"/>
      <c r="C328" s="30" t="n"/>
      <c r="D328" s="9">
        <f>IF($C328="","",YEAR($C328)&amp;"-"&amp;TEXT(MONTH($C328),"00"))</f>
        <v/>
      </c>
      <c r="E328" s="9" t="n"/>
      <c r="F328" s="9" t="n"/>
      <c r="G328" s="9" t="n"/>
      <c r="H328" s="24" t="n"/>
      <c r="I328" s="9" t="n"/>
      <c r="J328" s="24" t="n"/>
      <c r="K328" s="24" t="n"/>
      <c r="L328" s="24">
        <f>IF($H328="","",ROUND($H328*$J328-N($K328),2))</f>
        <v/>
      </c>
      <c r="M328" s="31" t="n"/>
      <c r="N328" s="24">
        <f>IF(OR($L328="",$M328=""),"",ROUND($L328-$L328/(1+$M328/100),2))</f>
        <v/>
      </c>
      <c r="O328" s="9" t="n"/>
      <c r="P328" s="9" t="n"/>
      <c r="Q328" s="9" t="n"/>
      <c r="R328" s="9" t="n"/>
      <c r="S328" s="9" t="n"/>
    </row>
    <row r="329">
      <c r="A329" s="9" t="n"/>
      <c r="B329" s="9" t="n"/>
      <c r="C329" s="30" t="n"/>
      <c r="D329" s="9">
        <f>IF($C329="","",YEAR($C329)&amp;"-"&amp;TEXT(MONTH($C329),"00"))</f>
        <v/>
      </c>
      <c r="E329" s="9" t="n"/>
      <c r="F329" s="9" t="n"/>
      <c r="G329" s="9" t="n"/>
      <c r="H329" s="24" t="n"/>
      <c r="I329" s="9" t="n"/>
      <c r="J329" s="24" t="n"/>
      <c r="K329" s="24" t="n"/>
      <c r="L329" s="24">
        <f>IF($H329="","",ROUND($H329*$J329-N($K329),2))</f>
        <v/>
      </c>
      <c r="M329" s="31" t="n"/>
      <c r="N329" s="24">
        <f>IF(OR($L329="",$M329=""),"",ROUND($L329-$L329/(1+$M329/100),2))</f>
        <v/>
      </c>
      <c r="O329" s="9" t="n"/>
      <c r="P329" s="9" t="n"/>
      <c r="Q329" s="9" t="n"/>
      <c r="R329" s="9" t="n"/>
      <c r="S329" s="9" t="n"/>
    </row>
    <row r="330">
      <c r="A330" s="9" t="n"/>
      <c r="B330" s="9" t="n"/>
      <c r="C330" s="30" t="n"/>
      <c r="D330" s="9">
        <f>IF($C330="","",YEAR($C330)&amp;"-"&amp;TEXT(MONTH($C330),"00"))</f>
        <v/>
      </c>
      <c r="E330" s="9" t="n"/>
      <c r="F330" s="9" t="n"/>
      <c r="G330" s="9" t="n"/>
      <c r="H330" s="24" t="n"/>
      <c r="I330" s="9" t="n"/>
      <c r="J330" s="24" t="n"/>
      <c r="K330" s="24" t="n"/>
      <c r="L330" s="24">
        <f>IF($H330="","",ROUND($H330*$J330-N($K330),2))</f>
        <v/>
      </c>
      <c r="M330" s="31" t="n"/>
      <c r="N330" s="24">
        <f>IF(OR($L330="",$M330=""),"",ROUND($L330-$L330/(1+$M330/100),2))</f>
        <v/>
      </c>
      <c r="O330" s="9" t="n"/>
      <c r="P330" s="9" t="n"/>
      <c r="Q330" s="9" t="n"/>
      <c r="R330" s="9" t="n"/>
      <c r="S330" s="9" t="n"/>
    </row>
    <row r="331">
      <c r="A331" s="9" t="n"/>
      <c r="B331" s="9" t="n"/>
      <c r="C331" s="30" t="n"/>
      <c r="D331" s="9">
        <f>IF($C331="","",YEAR($C331)&amp;"-"&amp;TEXT(MONTH($C331),"00"))</f>
        <v/>
      </c>
      <c r="E331" s="9" t="n"/>
      <c r="F331" s="9" t="n"/>
      <c r="G331" s="9" t="n"/>
      <c r="H331" s="24" t="n"/>
      <c r="I331" s="9" t="n"/>
      <c r="J331" s="24" t="n"/>
      <c r="K331" s="24" t="n"/>
      <c r="L331" s="24">
        <f>IF($H331="","",ROUND($H331*$J331-N($K331),2))</f>
        <v/>
      </c>
      <c r="M331" s="31" t="n"/>
      <c r="N331" s="24">
        <f>IF(OR($L331="",$M331=""),"",ROUND($L331-$L331/(1+$M331/100),2))</f>
        <v/>
      </c>
      <c r="O331" s="9" t="n"/>
      <c r="P331" s="9" t="n"/>
      <c r="Q331" s="9" t="n"/>
      <c r="R331" s="9" t="n"/>
      <c r="S331" s="9" t="n"/>
    </row>
    <row r="332">
      <c r="A332" s="9" t="n"/>
      <c r="B332" s="9" t="n"/>
      <c r="C332" s="30" t="n"/>
      <c r="D332" s="9">
        <f>IF($C332="","",YEAR($C332)&amp;"-"&amp;TEXT(MONTH($C332),"00"))</f>
        <v/>
      </c>
      <c r="E332" s="9" t="n"/>
      <c r="F332" s="9" t="n"/>
      <c r="G332" s="9" t="n"/>
      <c r="H332" s="24" t="n"/>
      <c r="I332" s="9" t="n"/>
      <c r="J332" s="24" t="n"/>
      <c r="K332" s="24" t="n"/>
      <c r="L332" s="24">
        <f>IF($H332="","",ROUND($H332*$J332-N($K332),2))</f>
        <v/>
      </c>
      <c r="M332" s="31" t="n"/>
      <c r="N332" s="24">
        <f>IF(OR($L332="",$M332=""),"",ROUND($L332-$L332/(1+$M332/100),2))</f>
        <v/>
      </c>
      <c r="O332" s="9" t="n"/>
      <c r="P332" s="9" t="n"/>
      <c r="Q332" s="9" t="n"/>
      <c r="R332" s="9" t="n"/>
      <c r="S332" s="9" t="n"/>
    </row>
    <row r="333">
      <c r="A333" s="9" t="n"/>
      <c r="B333" s="9" t="n"/>
      <c r="C333" s="30" t="n"/>
      <c r="D333" s="9">
        <f>IF($C333="","",YEAR($C333)&amp;"-"&amp;TEXT(MONTH($C333),"00"))</f>
        <v/>
      </c>
      <c r="E333" s="9" t="n"/>
      <c r="F333" s="9" t="n"/>
      <c r="G333" s="9" t="n"/>
      <c r="H333" s="24" t="n"/>
      <c r="I333" s="9" t="n"/>
      <c r="J333" s="24" t="n"/>
      <c r="K333" s="24" t="n"/>
      <c r="L333" s="24">
        <f>IF($H333="","",ROUND($H333*$J333-N($K333),2))</f>
        <v/>
      </c>
      <c r="M333" s="31" t="n"/>
      <c r="N333" s="24">
        <f>IF(OR($L333="",$M333=""),"",ROUND($L333-$L333/(1+$M333/100),2))</f>
        <v/>
      </c>
      <c r="O333" s="9" t="n"/>
      <c r="P333" s="9" t="n"/>
      <c r="Q333" s="9" t="n"/>
      <c r="R333" s="9" t="n"/>
      <c r="S333" s="9" t="n"/>
    </row>
    <row r="334">
      <c r="A334" s="9" t="n"/>
      <c r="B334" s="9" t="n"/>
      <c r="C334" s="30" t="n"/>
      <c r="D334" s="9">
        <f>IF($C334="","",YEAR($C334)&amp;"-"&amp;TEXT(MONTH($C334),"00"))</f>
        <v/>
      </c>
      <c r="E334" s="9" t="n"/>
      <c r="F334" s="9" t="n"/>
      <c r="G334" s="9" t="n"/>
      <c r="H334" s="24" t="n"/>
      <c r="I334" s="9" t="n"/>
      <c r="J334" s="24" t="n"/>
      <c r="K334" s="24" t="n"/>
      <c r="L334" s="24">
        <f>IF($H334="","",ROUND($H334*$J334-N($K334),2))</f>
        <v/>
      </c>
      <c r="M334" s="31" t="n"/>
      <c r="N334" s="24">
        <f>IF(OR($L334="",$M334=""),"",ROUND($L334-$L334/(1+$M334/100),2))</f>
        <v/>
      </c>
      <c r="O334" s="9" t="n"/>
      <c r="P334" s="9" t="n"/>
      <c r="Q334" s="9" t="n"/>
      <c r="R334" s="9" t="n"/>
      <c r="S334" s="9" t="n"/>
    </row>
    <row r="335">
      <c r="A335" s="9" t="n"/>
      <c r="B335" s="9" t="n"/>
      <c r="C335" s="30" t="n"/>
      <c r="D335" s="9">
        <f>IF($C335="","",YEAR($C335)&amp;"-"&amp;TEXT(MONTH($C335),"00"))</f>
        <v/>
      </c>
      <c r="E335" s="9" t="n"/>
      <c r="F335" s="9" t="n"/>
      <c r="G335" s="9" t="n"/>
      <c r="H335" s="24" t="n"/>
      <c r="I335" s="9" t="n"/>
      <c r="J335" s="24" t="n"/>
      <c r="K335" s="24" t="n"/>
      <c r="L335" s="24">
        <f>IF($H335="","",ROUND($H335*$J335-N($K335),2))</f>
        <v/>
      </c>
      <c r="M335" s="31" t="n"/>
      <c r="N335" s="24">
        <f>IF(OR($L335="",$M335=""),"",ROUND($L335-$L335/(1+$M335/100),2))</f>
        <v/>
      </c>
      <c r="O335" s="9" t="n"/>
      <c r="P335" s="9" t="n"/>
      <c r="Q335" s="9" t="n"/>
      <c r="R335" s="9" t="n"/>
      <c r="S335" s="9" t="n"/>
    </row>
    <row r="336">
      <c r="A336" s="9" t="n"/>
      <c r="B336" s="9" t="n"/>
      <c r="C336" s="30" t="n"/>
      <c r="D336" s="9">
        <f>IF($C336="","",YEAR($C336)&amp;"-"&amp;TEXT(MONTH($C336),"00"))</f>
        <v/>
      </c>
      <c r="E336" s="9" t="n"/>
      <c r="F336" s="9" t="n"/>
      <c r="G336" s="9" t="n"/>
      <c r="H336" s="24" t="n"/>
      <c r="I336" s="9" t="n"/>
      <c r="J336" s="24" t="n"/>
      <c r="K336" s="24" t="n"/>
      <c r="L336" s="24">
        <f>IF($H336="","",ROUND($H336*$J336-N($K336),2))</f>
        <v/>
      </c>
      <c r="M336" s="31" t="n"/>
      <c r="N336" s="24">
        <f>IF(OR($L336="",$M336=""),"",ROUND($L336-$L336/(1+$M336/100),2))</f>
        <v/>
      </c>
      <c r="O336" s="9" t="n"/>
      <c r="P336" s="9" t="n"/>
      <c r="Q336" s="9" t="n"/>
      <c r="R336" s="9" t="n"/>
      <c r="S336" s="9" t="n"/>
    </row>
    <row r="337">
      <c r="A337" s="9" t="n"/>
      <c r="B337" s="9" t="n"/>
      <c r="C337" s="30" t="n"/>
      <c r="D337" s="9">
        <f>IF($C337="","",YEAR($C337)&amp;"-"&amp;TEXT(MONTH($C337),"00"))</f>
        <v/>
      </c>
      <c r="E337" s="9" t="n"/>
      <c r="F337" s="9" t="n"/>
      <c r="G337" s="9" t="n"/>
      <c r="H337" s="24" t="n"/>
      <c r="I337" s="9" t="n"/>
      <c r="J337" s="24" t="n"/>
      <c r="K337" s="24" t="n"/>
      <c r="L337" s="24">
        <f>IF($H337="","",ROUND($H337*$J337-N($K337),2))</f>
        <v/>
      </c>
      <c r="M337" s="31" t="n"/>
      <c r="N337" s="24">
        <f>IF(OR($L337="",$M337=""),"",ROUND($L337-$L337/(1+$M337/100),2))</f>
        <v/>
      </c>
      <c r="O337" s="9" t="n"/>
      <c r="P337" s="9" t="n"/>
      <c r="Q337" s="9" t="n"/>
      <c r="R337" s="9" t="n"/>
      <c r="S337" s="9" t="n"/>
    </row>
    <row r="338">
      <c r="A338" s="9" t="n"/>
      <c r="B338" s="9" t="n"/>
      <c r="C338" s="30" t="n"/>
      <c r="D338" s="9">
        <f>IF($C338="","",YEAR($C338)&amp;"-"&amp;TEXT(MONTH($C338),"00"))</f>
        <v/>
      </c>
      <c r="E338" s="9" t="n"/>
      <c r="F338" s="9" t="n"/>
      <c r="G338" s="9" t="n"/>
      <c r="H338" s="24" t="n"/>
      <c r="I338" s="9" t="n"/>
      <c r="J338" s="24" t="n"/>
      <c r="K338" s="24" t="n"/>
      <c r="L338" s="24">
        <f>IF($H338="","",ROUND($H338*$J338-N($K338),2))</f>
        <v/>
      </c>
      <c r="M338" s="31" t="n"/>
      <c r="N338" s="24">
        <f>IF(OR($L338="",$M338=""),"",ROUND($L338-$L338/(1+$M338/100),2))</f>
        <v/>
      </c>
      <c r="O338" s="9" t="n"/>
      <c r="P338" s="9" t="n"/>
      <c r="Q338" s="9" t="n"/>
      <c r="R338" s="9" t="n"/>
      <c r="S338" s="9" t="n"/>
    </row>
    <row r="339">
      <c r="A339" s="9" t="n"/>
      <c r="B339" s="9" t="n"/>
      <c r="C339" s="30" t="n"/>
      <c r="D339" s="9">
        <f>IF($C339="","",YEAR($C339)&amp;"-"&amp;TEXT(MONTH($C339),"00"))</f>
        <v/>
      </c>
      <c r="E339" s="9" t="n"/>
      <c r="F339" s="9" t="n"/>
      <c r="G339" s="9" t="n"/>
      <c r="H339" s="24" t="n"/>
      <c r="I339" s="9" t="n"/>
      <c r="J339" s="24" t="n"/>
      <c r="K339" s="24" t="n"/>
      <c r="L339" s="24">
        <f>IF($H339="","",ROUND($H339*$J339-N($K339),2))</f>
        <v/>
      </c>
      <c r="M339" s="31" t="n"/>
      <c r="N339" s="24">
        <f>IF(OR($L339="",$M339=""),"",ROUND($L339-$L339/(1+$M339/100),2))</f>
        <v/>
      </c>
      <c r="O339" s="9" t="n"/>
      <c r="P339" s="9" t="n"/>
      <c r="Q339" s="9" t="n"/>
      <c r="R339" s="9" t="n"/>
      <c r="S339" s="9" t="n"/>
    </row>
    <row r="340">
      <c r="A340" s="9" t="n"/>
      <c r="B340" s="9" t="n"/>
      <c r="C340" s="30" t="n"/>
      <c r="D340" s="9">
        <f>IF($C340="","",YEAR($C340)&amp;"-"&amp;TEXT(MONTH($C340),"00"))</f>
        <v/>
      </c>
      <c r="E340" s="9" t="n"/>
      <c r="F340" s="9" t="n"/>
      <c r="G340" s="9" t="n"/>
      <c r="H340" s="24" t="n"/>
      <c r="I340" s="9" t="n"/>
      <c r="J340" s="24" t="n"/>
      <c r="K340" s="24" t="n"/>
      <c r="L340" s="24">
        <f>IF($H340="","",ROUND($H340*$J340-N($K340),2))</f>
        <v/>
      </c>
      <c r="M340" s="31" t="n"/>
      <c r="N340" s="24">
        <f>IF(OR($L340="",$M340=""),"",ROUND($L340-$L340/(1+$M340/100),2))</f>
        <v/>
      </c>
      <c r="O340" s="9" t="n"/>
      <c r="P340" s="9" t="n"/>
      <c r="Q340" s="9" t="n"/>
      <c r="R340" s="9" t="n"/>
      <c r="S340" s="9" t="n"/>
    </row>
    <row r="341">
      <c r="A341" s="9" t="n"/>
      <c r="B341" s="9" t="n"/>
      <c r="C341" s="30" t="n"/>
      <c r="D341" s="9">
        <f>IF($C341="","",YEAR($C341)&amp;"-"&amp;TEXT(MONTH($C341),"00"))</f>
        <v/>
      </c>
      <c r="E341" s="9" t="n"/>
      <c r="F341" s="9" t="n"/>
      <c r="G341" s="9" t="n"/>
      <c r="H341" s="24" t="n"/>
      <c r="I341" s="9" t="n"/>
      <c r="J341" s="24" t="n"/>
      <c r="K341" s="24" t="n"/>
      <c r="L341" s="24">
        <f>IF($H341="","",ROUND($H341*$J341-N($K341),2))</f>
        <v/>
      </c>
      <c r="M341" s="31" t="n"/>
      <c r="N341" s="24">
        <f>IF(OR($L341="",$M341=""),"",ROUND($L341-$L341/(1+$M341/100),2))</f>
        <v/>
      </c>
      <c r="O341" s="9" t="n"/>
      <c r="P341" s="9" t="n"/>
      <c r="Q341" s="9" t="n"/>
      <c r="R341" s="9" t="n"/>
      <c r="S341" s="9" t="n"/>
    </row>
    <row r="342">
      <c r="A342" s="9" t="n"/>
      <c r="B342" s="9" t="n"/>
      <c r="C342" s="30" t="n"/>
      <c r="D342" s="9">
        <f>IF($C342="","",YEAR($C342)&amp;"-"&amp;TEXT(MONTH($C342),"00"))</f>
        <v/>
      </c>
      <c r="E342" s="9" t="n"/>
      <c r="F342" s="9" t="n"/>
      <c r="G342" s="9" t="n"/>
      <c r="H342" s="24" t="n"/>
      <c r="I342" s="9" t="n"/>
      <c r="J342" s="24" t="n"/>
      <c r="K342" s="24" t="n"/>
      <c r="L342" s="24">
        <f>IF($H342="","",ROUND($H342*$J342-N($K342),2))</f>
        <v/>
      </c>
      <c r="M342" s="31" t="n"/>
      <c r="N342" s="24">
        <f>IF(OR($L342="",$M342=""),"",ROUND($L342-$L342/(1+$M342/100),2))</f>
        <v/>
      </c>
      <c r="O342" s="9" t="n"/>
      <c r="P342" s="9" t="n"/>
      <c r="Q342" s="9" t="n"/>
      <c r="R342" s="9" t="n"/>
      <c r="S342" s="9" t="n"/>
    </row>
    <row r="343">
      <c r="A343" s="9" t="n"/>
      <c r="B343" s="9" t="n"/>
      <c r="C343" s="30" t="n"/>
      <c r="D343" s="9">
        <f>IF($C343="","",YEAR($C343)&amp;"-"&amp;TEXT(MONTH($C343),"00"))</f>
        <v/>
      </c>
      <c r="E343" s="9" t="n"/>
      <c r="F343" s="9" t="n"/>
      <c r="G343" s="9" t="n"/>
      <c r="H343" s="24" t="n"/>
      <c r="I343" s="9" t="n"/>
      <c r="J343" s="24" t="n"/>
      <c r="K343" s="24" t="n"/>
      <c r="L343" s="24">
        <f>IF($H343="","",ROUND($H343*$J343-N($K343),2))</f>
        <v/>
      </c>
      <c r="M343" s="31" t="n"/>
      <c r="N343" s="24">
        <f>IF(OR($L343="",$M343=""),"",ROUND($L343-$L343/(1+$M343/100),2))</f>
        <v/>
      </c>
      <c r="O343" s="9" t="n"/>
      <c r="P343" s="9" t="n"/>
      <c r="Q343" s="9" t="n"/>
      <c r="R343" s="9" t="n"/>
      <c r="S343" s="9" t="n"/>
    </row>
    <row r="344">
      <c r="A344" s="9" t="n"/>
      <c r="B344" s="9" t="n"/>
      <c r="C344" s="30" t="n"/>
      <c r="D344" s="9">
        <f>IF($C344="","",YEAR($C344)&amp;"-"&amp;TEXT(MONTH($C344),"00"))</f>
        <v/>
      </c>
      <c r="E344" s="9" t="n"/>
      <c r="F344" s="9" t="n"/>
      <c r="G344" s="9" t="n"/>
      <c r="H344" s="24" t="n"/>
      <c r="I344" s="9" t="n"/>
      <c r="J344" s="24" t="n"/>
      <c r="K344" s="24" t="n"/>
      <c r="L344" s="24">
        <f>IF($H344="","",ROUND($H344*$J344-N($K344),2))</f>
        <v/>
      </c>
      <c r="M344" s="31" t="n"/>
      <c r="N344" s="24">
        <f>IF(OR($L344="",$M344=""),"",ROUND($L344-$L344/(1+$M344/100),2))</f>
        <v/>
      </c>
      <c r="O344" s="9" t="n"/>
      <c r="P344" s="9" t="n"/>
      <c r="Q344" s="9" t="n"/>
      <c r="R344" s="9" t="n"/>
      <c r="S344" s="9" t="n"/>
    </row>
    <row r="345">
      <c r="A345" s="9" t="n"/>
      <c r="B345" s="9" t="n"/>
      <c r="C345" s="30" t="n"/>
      <c r="D345" s="9">
        <f>IF($C345="","",YEAR($C345)&amp;"-"&amp;TEXT(MONTH($C345),"00"))</f>
        <v/>
      </c>
      <c r="E345" s="9" t="n"/>
      <c r="F345" s="9" t="n"/>
      <c r="G345" s="9" t="n"/>
      <c r="H345" s="24" t="n"/>
      <c r="I345" s="9" t="n"/>
      <c r="J345" s="24" t="n"/>
      <c r="K345" s="24" t="n"/>
      <c r="L345" s="24">
        <f>IF($H345="","",ROUND($H345*$J345-N($K345),2))</f>
        <v/>
      </c>
      <c r="M345" s="31" t="n"/>
      <c r="N345" s="24">
        <f>IF(OR($L345="",$M345=""),"",ROUND($L345-$L345/(1+$M345/100),2))</f>
        <v/>
      </c>
      <c r="O345" s="9" t="n"/>
      <c r="P345" s="9" t="n"/>
      <c r="Q345" s="9" t="n"/>
      <c r="R345" s="9" t="n"/>
      <c r="S345" s="9" t="n"/>
    </row>
    <row r="346">
      <c r="A346" s="9" t="n"/>
      <c r="B346" s="9" t="n"/>
      <c r="C346" s="30" t="n"/>
      <c r="D346" s="9">
        <f>IF($C346="","",YEAR($C346)&amp;"-"&amp;TEXT(MONTH($C346),"00"))</f>
        <v/>
      </c>
      <c r="E346" s="9" t="n"/>
      <c r="F346" s="9" t="n"/>
      <c r="G346" s="9" t="n"/>
      <c r="H346" s="24" t="n"/>
      <c r="I346" s="9" t="n"/>
      <c r="J346" s="24" t="n"/>
      <c r="K346" s="24" t="n"/>
      <c r="L346" s="24">
        <f>IF($H346="","",ROUND($H346*$J346-N($K346),2))</f>
        <v/>
      </c>
      <c r="M346" s="31" t="n"/>
      <c r="N346" s="24">
        <f>IF(OR($L346="",$M346=""),"",ROUND($L346-$L346/(1+$M346/100),2))</f>
        <v/>
      </c>
      <c r="O346" s="9" t="n"/>
      <c r="P346" s="9" t="n"/>
      <c r="Q346" s="9" t="n"/>
      <c r="R346" s="9" t="n"/>
      <c r="S346" s="9" t="n"/>
    </row>
    <row r="347">
      <c r="A347" s="9" t="n"/>
      <c r="B347" s="9" t="n"/>
      <c r="C347" s="30" t="n"/>
      <c r="D347" s="9">
        <f>IF($C347="","",YEAR($C347)&amp;"-"&amp;TEXT(MONTH($C347),"00"))</f>
        <v/>
      </c>
      <c r="E347" s="9" t="n"/>
      <c r="F347" s="9" t="n"/>
      <c r="G347" s="9" t="n"/>
      <c r="H347" s="24" t="n"/>
      <c r="I347" s="9" t="n"/>
      <c r="J347" s="24" t="n"/>
      <c r="K347" s="24" t="n"/>
      <c r="L347" s="24">
        <f>IF($H347="","",ROUND($H347*$J347-N($K347),2))</f>
        <v/>
      </c>
      <c r="M347" s="31" t="n"/>
      <c r="N347" s="24">
        <f>IF(OR($L347="",$M347=""),"",ROUND($L347-$L347/(1+$M347/100),2))</f>
        <v/>
      </c>
      <c r="O347" s="9" t="n"/>
      <c r="P347" s="9" t="n"/>
      <c r="Q347" s="9" t="n"/>
      <c r="R347" s="9" t="n"/>
      <c r="S347" s="9" t="n"/>
    </row>
    <row r="348">
      <c r="A348" s="9" t="n"/>
      <c r="B348" s="9" t="n"/>
      <c r="C348" s="30" t="n"/>
      <c r="D348" s="9">
        <f>IF($C348="","",YEAR($C348)&amp;"-"&amp;TEXT(MONTH($C348),"00"))</f>
        <v/>
      </c>
      <c r="E348" s="9" t="n"/>
      <c r="F348" s="9" t="n"/>
      <c r="G348" s="9" t="n"/>
      <c r="H348" s="24" t="n"/>
      <c r="I348" s="9" t="n"/>
      <c r="J348" s="24" t="n"/>
      <c r="K348" s="24" t="n"/>
      <c r="L348" s="24">
        <f>IF($H348="","",ROUND($H348*$J348-N($K348),2))</f>
        <v/>
      </c>
      <c r="M348" s="31" t="n"/>
      <c r="N348" s="24">
        <f>IF(OR($L348="",$M348=""),"",ROUND($L348-$L348/(1+$M348/100),2))</f>
        <v/>
      </c>
      <c r="O348" s="9" t="n"/>
      <c r="P348" s="9" t="n"/>
      <c r="Q348" s="9" t="n"/>
      <c r="R348" s="9" t="n"/>
      <c r="S348" s="9" t="n"/>
    </row>
    <row r="349">
      <c r="A349" s="9" t="n"/>
      <c r="B349" s="9" t="n"/>
      <c r="C349" s="30" t="n"/>
      <c r="D349" s="9">
        <f>IF($C349="","",YEAR($C349)&amp;"-"&amp;TEXT(MONTH($C349),"00"))</f>
        <v/>
      </c>
      <c r="E349" s="9" t="n"/>
      <c r="F349" s="9" t="n"/>
      <c r="G349" s="9" t="n"/>
      <c r="H349" s="24" t="n"/>
      <c r="I349" s="9" t="n"/>
      <c r="J349" s="24" t="n"/>
      <c r="K349" s="24" t="n"/>
      <c r="L349" s="24">
        <f>IF($H349="","",ROUND($H349*$J349-N($K349),2))</f>
        <v/>
      </c>
      <c r="M349" s="31" t="n"/>
      <c r="N349" s="24">
        <f>IF(OR($L349="",$M349=""),"",ROUND($L349-$L349/(1+$M349/100),2))</f>
        <v/>
      </c>
      <c r="O349" s="9" t="n"/>
      <c r="P349" s="9" t="n"/>
      <c r="Q349" s="9" t="n"/>
      <c r="R349" s="9" t="n"/>
      <c r="S349" s="9" t="n"/>
    </row>
    <row r="350">
      <c r="A350" s="9" t="n"/>
      <c r="B350" s="9" t="n"/>
      <c r="C350" s="30" t="n"/>
      <c r="D350" s="9">
        <f>IF($C350="","",YEAR($C350)&amp;"-"&amp;TEXT(MONTH($C350),"00"))</f>
        <v/>
      </c>
      <c r="E350" s="9" t="n"/>
      <c r="F350" s="9" t="n"/>
      <c r="G350" s="9" t="n"/>
      <c r="H350" s="24" t="n"/>
      <c r="I350" s="9" t="n"/>
      <c r="J350" s="24" t="n"/>
      <c r="K350" s="24" t="n"/>
      <c r="L350" s="24">
        <f>IF($H350="","",ROUND($H350*$J350-N($K350),2))</f>
        <v/>
      </c>
      <c r="M350" s="31" t="n"/>
      <c r="N350" s="24">
        <f>IF(OR($L350="",$M350=""),"",ROUND($L350-$L350/(1+$M350/100),2))</f>
        <v/>
      </c>
      <c r="O350" s="9" t="n"/>
      <c r="P350" s="9" t="n"/>
      <c r="Q350" s="9" t="n"/>
      <c r="R350" s="9" t="n"/>
      <c r="S350" s="9" t="n"/>
    </row>
    <row r="351">
      <c r="A351" s="9" t="n"/>
      <c r="B351" s="9" t="n"/>
      <c r="C351" s="30" t="n"/>
      <c r="D351" s="9">
        <f>IF($C351="","",YEAR($C351)&amp;"-"&amp;TEXT(MONTH($C351),"00"))</f>
        <v/>
      </c>
      <c r="E351" s="9" t="n"/>
      <c r="F351" s="9" t="n"/>
      <c r="G351" s="9" t="n"/>
      <c r="H351" s="24" t="n"/>
      <c r="I351" s="9" t="n"/>
      <c r="J351" s="24" t="n"/>
      <c r="K351" s="24" t="n"/>
      <c r="L351" s="24">
        <f>IF($H351="","",ROUND($H351*$J351-N($K351),2))</f>
        <v/>
      </c>
      <c r="M351" s="31" t="n"/>
      <c r="N351" s="24">
        <f>IF(OR($L351="",$M351=""),"",ROUND($L351-$L351/(1+$M351/100),2))</f>
        <v/>
      </c>
      <c r="O351" s="9" t="n"/>
      <c r="P351" s="9" t="n"/>
      <c r="Q351" s="9" t="n"/>
      <c r="R351" s="9" t="n"/>
      <c r="S351" s="9" t="n"/>
    </row>
    <row r="352">
      <c r="A352" s="9" t="n"/>
      <c r="B352" s="9" t="n"/>
      <c r="C352" s="30" t="n"/>
      <c r="D352" s="9">
        <f>IF($C352="","",YEAR($C352)&amp;"-"&amp;TEXT(MONTH($C352),"00"))</f>
        <v/>
      </c>
      <c r="E352" s="9" t="n"/>
      <c r="F352" s="9" t="n"/>
      <c r="G352" s="9" t="n"/>
      <c r="H352" s="24" t="n"/>
      <c r="I352" s="9" t="n"/>
      <c r="J352" s="24" t="n"/>
      <c r="K352" s="24" t="n"/>
      <c r="L352" s="24">
        <f>IF($H352="","",ROUND($H352*$J352-N($K352),2))</f>
        <v/>
      </c>
      <c r="M352" s="31" t="n"/>
      <c r="N352" s="24">
        <f>IF(OR($L352="",$M352=""),"",ROUND($L352-$L352/(1+$M352/100),2))</f>
        <v/>
      </c>
      <c r="O352" s="9" t="n"/>
      <c r="P352" s="9" t="n"/>
      <c r="Q352" s="9" t="n"/>
      <c r="R352" s="9" t="n"/>
      <c r="S352" s="9" t="n"/>
    </row>
    <row r="353">
      <c r="A353" s="9" t="n"/>
      <c r="B353" s="9" t="n"/>
      <c r="C353" s="30" t="n"/>
      <c r="D353" s="9">
        <f>IF($C353="","",YEAR($C353)&amp;"-"&amp;TEXT(MONTH($C353),"00"))</f>
        <v/>
      </c>
      <c r="E353" s="9" t="n"/>
      <c r="F353" s="9" t="n"/>
      <c r="G353" s="9" t="n"/>
      <c r="H353" s="24" t="n"/>
      <c r="I353" s="9" t="n"/>
      <c r="J353" s="24" t="n"/>
      <c r="K353" s="24" t="n"/>
      <c r="L353" s="24">
        <f>IF($H353="","",ROUND($H353*$J353-N($K353),2))</f>
        <v/>
      </c>
      <c r="M353" s="31" t="n"/>
      <c r="N353" s="24">
        <f>IF(OR($L353="",$M353=""),"",ROUND($L353-$L353/(1+$M353/100),2))</f>
        <v/>
      </c>
      <c r="O353" s="9" t="n"/>
      <c r="P353" s="9" t="n"/>
      <c r="Q353" s="9" t="n"/>
      <c r="R353" s="9" t="n"/>
      <c r="S353" s="9" t="n"/>
    </row>
    <row r="354">
      <c r="A354" s="9" t="n"/>
      <c r="B354" s="9" t="n"/>
      <c r="C354" s="30" t="n"/>
      <c r="D354" s="9">
        <f>IF($C354="","",YEAR($C354)&amp;"-"&amp;TEXT(MONTH($C354),"00"))</f>
        <v/>
      </c>
      <c r="E354" s="9" t="n"/>
      <c r="F354" s="9" t="n"/>
      <c r="G354" s="9" t="n"/>
      <c r="H354" s="24" t="n"/>
      <c r="I354" s="9" t="n"/>
      <c r="J354" s="24" t="n"/>
      <c r="K354" s="24" t="n"/>
      <c r="L354" s="24">
        <f>IF($H354="","",ROUND($H354*$J354-N($K354),2))</f>
        <v/>
      </c>
      <c r="M354" s="31" t="n"/>
      <c r="N354" s="24">
        <f>IF(OR($L354="",$M354=""),"",ROUND($L354-$L354/(1+$M354/100),2))</f>
        <v/>
      </c>
      <c r="O354" s="9" t="n"/>
      <c r="P354" s="9" t="n"/>
      <c r="Q354" s="9" t="n"/>
      <c r="R354" s="9" t="n"/>
      <c r="S354" s="9" t="n"/>
    </row>
    <row r="355">
      <c r="A355" s="9" t="n"/>
      <c r="B355" s="9" t="n"/>
      <c r="C355" s="30" t="n"/>
      <c r="D355" s="9">
        <f>IF($C355="","",YEAR($C355)&amp;"-"&amp;TEXT(MONTH($C355),"00"))</f>
        <v/>
      </c>
      <c r="E355" s="9" t="n"/>
      <c r="F355" s="9" t="n"/>
      <c r="G355" s="9" t="n"/>
      <c r="H355" s="24" t="n"/>
      <c r="I355" s="9" t="n"/>
      <c r="J355" s="24" t="n"/>
      <c r="K355" s="24" t="n"/>
      <c r="L355" s="24">
        <f>IF($H355="","",ROUND($H355*$J355-N($K355),2))</f>
        <v/>
      </c>
      <c r="M355" s="31" t="n"/>
      <c r="N355" s="24">
        <f>IF(OR($L355="",$M355=""),"",ROUND($L355-$L355/(1+$M355/100),2))</f>
        <v/>
      </c>
      <c r="O355" s="9" t="n"/>
      <c r="P355" s="9" t="n"/>
      <c r="Q355" s="9" t="n"/>
      <c r="R355" s="9" t="n"/>
      <c r="S355" s="9" t="n"/>
    </row>
    <row r="356">
      <c r="A356" s="9" t="n"/>
      <c r="B356" s="9" t="n"/>
      <c r="C356" s="30" t="n"/>
      <c r="D356" s="9">
        <f>IF($C356="","",YEAR($C356)&amp;"-"&amp;TEXT(MONTH($C356),"00"))</f>
        <v/>
      </c>
      <c r="E356" s="9" t="n"/>
      <c r="F356" s="9" t="n"/>
      <c r="G356" s="9" t="n"/>
      <c r="H356" s="24" t="n"/>
      <c r="I356" s="9" t="n"/>
      <c r="J356" s="24" t="n"/>
      <c r="K356" s="24" t="n"/>
      <c r="L356" s="24">
        <f>IF($H356="","",ROUND($H356*$J356-N($K356),2))</f>
        <v/>
      </c>
      <c r="M356" s="31" t="n"/>
      <c r="N356" s="24">
        <f>IF(OR($L356="",$M356=""),"",ROUND($L356-$L356/(1+$M356/100),2))</f>
        <v/>
      </c>
      <c r="O356" s="9" t="n"/>
      <c r="P356" s="9" t="n"/>
      <c r="Q356" s="9" t="n"/>
      <c r="R356" s="9" t="n"/>
      <c r="S356" s="9" t="n"/>
    </row>
    <row r="357">
      <c r="A357" s="9" t="n"/>
      <c r="B357" s="9" t="n"/>
      <c r="C357" s="30" t="n"/>
      <c r="D357" s="9">
        <f>IF($C357="","",YEAR($C357)&amp;"-"&amp;TEXT(MONTH($C357),"00"))</f>
        <v/>
      </c>
      <c r="E357" s="9" t="n"/>
      <c r="F357" s="9" t="n"/>
      <c r="G357" s="9" t="n"/>
      <c r="H357" s="24" t="n"/>
      <c r="I357" s="9" t="n"/>
      <c r="J357" s="24" t="n"/>
      <c r="K357" s="24" t="n"/>
      <c r="L357" s="24">
        <f>IF($H357="","",ROUND($H357*$J357-N($K357),2))</f>
        <v/>
      </c>
      <c r="M357" s="31" t="n"/>
      <c r="N357" s="24">
        <f>IF(OR($L357="",$M357=""),"",ROUND($L357-$L357/(1+$M357/100),2))</f>
        <v/>
      </c>
      <c r="O357" s="9" t="n"/>
      <c r="P357" s="9" t="n"/>
      <c r="Q357" s="9" t="n"/>
      <c r="R357" s="9" t="n"/>
      <c r="S357" s="9" t="n"/>
    </row>
    <row r="358">
      <c r="A358" s="9" t="n"/>
      <c r="B358" s="9" t="n"/>
      <c r="C358" s="30" t="n"/>
      <c r="D358" s="9">
        <f>IF($C358="","",YEAR($C358)&amp;"-"&amp;TEXT(MONTH($C358),"00"))</f>
        <v/>
      </c>
      <c r="E358" s="9" t="n"/>
      <c r="F358" s="9" t="n"/>
      <c r="G358" s="9" t="n"/>
      <c r="H358" s="24" t="n"/>
      <c r="I358" s="9" t="n"/>
      <c r="J358" s="24" t="n"/>
      <c r="K358" s="24" t="n"/>
      <c r="L358" s="24">
        <f>IF($H358="","",ROUND($H358*$J358-N($K358),2))</f>
        <v/>
      </c>
      <c r="M358" s="31" t="n"/>
      <c r="N358" s="24">
        <f>IF(OR($L358="",$M358=""),"",ROUND($L358-$L358/(1+$M358/100),2))</f>
        <v/>
      </c>
      <c r="O358" s="9" t="n"/>
      <c r="P358" s="9" t="n"/>
      <c r="Q358" s="9" t="n"/>
      <c r="R358" s="9" t="n"/>
      <c r="S358" s="9" t="n"/>
    </row>
    <row r="359">
      <c r="A359" s="9" t="n"/>
      <c r="B359" s="9" t="n"/>
      <c r="C359" s="30" t="n"/>
      <c r="D359" s="9">
        <f>IF($C359="","",YEAR($C359)&amp;"-"&amp;TEXT(MONTH($C359),"00"))</f>
        <v/>
      </c>
      <c r="E359" s="9" t="n"/>
      <c r="F359" s="9" t="n"/>
      <c r="G359" s="9" t="n"/>
      <c r="H359" s="24" t="n"/>
      <c r="I359" s="9" t="n"/>
      <c r="J359" s="24" t="n"/>
      <c r="K359" s="24" t="n"/>
      <c r="L359" s="24">
        <f>IF($H359="","",ROUND($H359*$J359-N($K359),2))</f>
        <v/>
      </c>
      <c r="M359" s="31" t="n"/>
      <c r="N359" s="24">
        <f>IF(OR($L359="",$M359=""),"",ROUND($L359-$L359/(1+$M359/100),2))</f>
        <v/>
      </c>
      <c r="O359" s="9" t="n"/>
      <c r="P359" s="9" t="n"/>
      <c r="Q359" s="9" t="n"/>
      <c r="R359" s="9" t="n"/>
      <c r="S359" s="9" t="n"/>
    </row>
    <row r="360">
      <c r="A360" s="9" t="n"/>
      <c r="B360" s="9" t="n"/>
      <c r="C360" s="30" t="n"/>
      <c r="D360" s="9">
        <f>IF($C360="","",YEAR($C360)&amp;"-"&amp;TEXT(MONTH($C360),"00"))</f>
        <v/>
      </c>
      <c r="E360" s="9" t="n"/>
      <c r="F360" s="9" t="n"/>
      <c r="G360" s="9" t="n"/>
      <c r="H360" s="24" t="n"/>
      <c r="I360" s="9" t="n"/>
      <c r="J360" s="24" t="n"/>
      <c r="K360" s="24" t="n"/>
      <c r="L360" s="24">
        <f>IF($H360="","",ROUND($H360*$J360-N($K360),2))</f>
        <v/>
      </c>
      <c r="M360" s="31" t="n"/>
      <c r="N360" s="24">
        <f>IF(OR($L360="",$M360=""),"",ROUND($L360-$L360/(1+$M360/100),2))</f>
        <v/>
      </c>
      <c r="O360" s="9" t="n"/>
      <c r="P360" s="9" t="n"/>
      <c r="Q360" s="9" t="n"/>
      <c r="R360" s="9" t="n"/>
      <c r="S360" s="9" t="n"/>
    </row>
    <row r="361">
      <c r="A361" s="9" t="n"/>
      <c r="B361" s="9" t="n"/>
      <c r="C361" s="30" t="n"/>
      <c r="D361" s="9">
        <f>IF($C361="","",YEAR($C361)&amp;"-"&amp;TEXT(MONTH($C361),"00"))</f>
        <v/>
      </c>
      <c r="E361" s="9" t="n"/>
      <c r="F361" s="9" t="n"/>
      <c r="G361" s="9" t="n"/>
      <c r="H361" s="24" t="n"/>
      <c r="I361" s="9" t="n"/>
      <c r="J361" s="24" t="n"/>
      <c r="K361" s="24" t="n"/>
      <c r="L361" s="24">
        <f>IF($H361="","",ROUND($H361*$J361-N($K361),2))</f>
        <v/>
      </c>
      <c r="M361" s="31" t="n"/>
      <c r="N361" s="24">
        <f>IF(OR($L361="",$M361=""),"",ROUND($L361-$L361/(1+$M361/100),2))</f>
        <v/>
      </c>
      <c r="O361" s="9" t="n"/>
      <c r="P361" s="9" t="n"/>
      <c r="Q361" s="9" t="n"/>
      <c r="R361" s="9" t="n"/>
      <c r="S361" s="9" t="n"/>
    </row>
    <row r="362">
      <c r="A362" s="9" t="n"/>
      <c r="B362" s="9" t="n"/>
      <c r="C362" s="30" t="n"/>
      <c r="D362" s="9">
        <f>IF($C362="","",YEAR($C362)&amp;"-"&amp;TEXT(MONTH($C362),"00"))</f>
        <v/>
      </c>
      <c r="E362" s="9" t="n"/>
      <c r="F362" s="9" t="n"/>
      <c r="G362" s="9" t="n"/>
      <c r="H362" s="24" t="n"/>
      <c r="I362" s="9" t="n"/>
      <c r="J362" s="24" t="n"/>
      <c r="K362" s="24" t="n"/>
      <c r="L362" s="24">
        <f>IF($H362="","",ROUND($H362*$J362-N($K362),2))</f>
        <v/>
      </c>
      <c r="M362" s="31" t="n"/>
      <c r="N362" s="24">
        <f>IF(OR($L362="",$M362=""),"",ROUND($L362-$L362/(1+$M362/100),2))</f>
        <v/>
      </c>
      <c r="O362" s="9" t="n"/>
      <c r="P362" s="9" t="n"/>
      <c r="Q362" s="9" t="n"/>
      <c r="R362" s="9" t="n"/>
      <c r="S362" s="9" t="n"/>
    </row>
    <row r="363">
      <c r="A363" s="9" t="n"/>
      <c r="B363" s="9" t="n"/>
      <c r="C363" s="30" t="n"/>
      <c r="D363" s="9">
        <f>IF($C363="","",YEAR($C363)&amp;"-"&amp;TEXT(MONTH($C363),"00"))</f>
        <v/>
      </c>
      <c r="E363" s="9" t="n"/>
      <c r="F363" s="9" t="n"/>
      <c r="G363" s="9" t="n"/>
      <c r="H363" s="24" t="n"/>
      <c r="I363" s="9" t="n"/>
      <c r="J363" s="24" t="n"/>
      <c r="K363" s="24" t="n"/>
      <c r="L363" s="24">
        <f>IF($H363="","",ROUND($H363*$J363-N($K363),2))</f>
        <v/>
      </c>
      <c r="M363" s="31" t="n"/>
      <c r="N363" s="24">
        <f>IF(OR($L363="",$M363=""),"",ROUND($L363-$L363/(1+$M363/100),2))</f>
        <v/>
      </c>
      <c r="O363" s="9" t="n"/>
      <c r="P363" s="9" t="n"/>
      <c r="Q363" s="9" t="n"/>
      <c r="R363" s="9" t="n"/>
      <c r="S363" s="9" t="n"/>
    </row>
    <row r="364">
      <c r="A364" s="9" t="n"/>
      <c r="B364" s="9" t="n"/>
      <c r="C364" s="30" t="n"/>
      <c r="D364" s="9">
        <f>IF($C364="","",YEAR($C364)&amp;"-"&amp;TEXT(MONTH($C364),"00"))</f>
        <v/>
      </c>
      <c r="E364" s="9" t="n"/>
      <c r="F364" s="9" t="n"/>
      <c r="G364" s="9" t="n"/>
      <c r="H364" s="24" t="n"/>
      <c r="I364" s="9" t="n"/>
      <c r="J364" s="24" t="n"/>
      <c r="K364" s="24" t="n"/>
      <c r="L364" s="24">
        <f>IF($H364="","",ROUND($H364*$J364-N($K364),2))</f>
        <v/>
      </c>
      <c r="M364" s="31" t="n"/>
      <c r="N364" s="24">
        <f>IF(OR($L364="",$M364=""),"",ROUND($L364-$L364/(1+$M364/100),2))</f>
        <v/>
      </c>
      <c r="O364" s="9" t="n"/>
      <c r="P364" s="9" t="n"/>
      <c r="Q364" s="9" t="n"/>
      <c r="R364" s="9" t="n"/>
      <c r="S364" s="9" t="n"/>
    </row>
    <row r="365">
      <c r="A365" s="9" t="n"/>
      <c r="B365" s="9" t="n"/>
      <c r="C365" s="30" t="n"/>
      <c r="D365" s="9">
        <f>IF($C365="","",YEAR($C365)&amp;"-"&amp;TEXT(MONTH($C365),"00"))</f>
        <v/>
      </c>
      <c r="E365" s="9" t="n"/>
      <c r="F365" s="9" t="n"/>
      <c r="G365" s="9" t="n"/>
      <c r="H365" s="24" t="n"/>
      <c r="I365" s="9" t="n"/>
      <c r="J365" s="24" t="n"/>
      <c r="K365" s="24" t="n"/>
      <c r="L365" s="24">
        <f>IF($H365="","",ROUND($H365*$J365-N($K365),2))</f>
        <v/>
      </c>
      <c r="M365" s="31" t="n"/>
      <c r="N365" s="24">
        <f>IF(OR($L365="",$M365=""),"",ROUND($L365-$L365/(1+$M365/100),2))</f>
        <v/>
      </c>
      <c r="O365" s="9" t="n"/>
      <c r="P365" s="9" t="n"/>
      <c r="Q365" s="9" t="n"/>
      <c r="R365" s="9" t="n"/>
      <c r="S365" s="9" t="n"/>
    </row>
    <row r="366">
      <c r="A366" s="9" t="n"/>
      <c r="B366" s="9" t="n"/>
      <c r="C366" s="30" t="n"/>
      <c r="D366" s="9">
        <f>IF($C366="","",YEAR($C366)&amp;"-"&amp;TEXT(MONTH($C366),"00"))</f>
        <v/>
      </c>
      <c r="E366" s="9" t="n"/>
      <c r="F366" s="9" t="n"/>
      <c r="G366" s="9" t="n"/>
      <c r="H366" s="24" t="n"/>
      <c r="I366" s="9" t="n"/>
      <c r="J366" s="24" t="n"/>
      <c r="K366" s="24" t="n"/>
      <c r="L366" s="24">
        <f>IF($H366="","",ROUND($H366*$J366-N($K366),2))</f>
        <v/>
      </c>
      <c r="M366" s="31" t="n"/>
      <c r="N366" s="24">
        <f>IF(OR($L366="",$M366=""),"",ROUND($L366-$L366/(1+$M366/100),2))</f>
        <v/>
      </c>
      <c r="O366" s="9" t="n"/>
      <c r="P366" s="9" t="n"/>
      <c r="Q366" s="9" t="n"/>
      <c r="R366" s="9" t="n"/>
      <c r="S366" s="9" t="n"/>
    </row>
    <row r="367">
      <c r="A367" s="9" t="n"/>
      <c r="B367" s="9" t="n"/>
      <c r="C367" s="30" t="n"/>
      <c r="D367" s="9">
        <f>IF($C367="","",YEAR($C367)&amp;"-"&amp;TEXT(MONTH($C367),"00"))</f>
        <v/>
      </c>
      <c r="E367" s="9" t="n"/>
      <c r="F367" s="9" t="n"/>
      <c r="G367" s="9" t="n"/>
      <c r="H367" s="24" t="n"/>
      <c r="I367" s="9" t="n"/>
      <c r="J367" s="24" t="n"/>
      <c r="K367" s="24" t="n"/>
      <c r="L367" s="24">
        <f>IF($H367="","",ROUND($H367*$J367-N($K367),2))</f>
        <v/>
      </c>
      <c r="M367" s="31" t="n"/>
      <c r="N367" s="24">
        <f>IF(OR($L367="",$M367=""),"",ROUND($L367-$L367/(1+$M367/100),2))</f>
        <v/>
      </c>
      <c r="O367" s="9" t="n"/>
      <c r="P367" s="9" t="n"/>
      <c r="Q367" s="9" t="n"/>
      <c r="R367" s="9" t="n"/>
      <c r="S367" s="9" t="n"/>
    </row>
    <row r="368">
      <c r="A368" s="9" t="n"/>
      <c r="B368" s="9" t="n"/>
      <c r="C368" s="30" t="n"/>
      <c r="D368" s="9">
        <f>IF($C368="","",YEAR($C368)&amp;"-"&amp;TEXT(MONTH($C368),"00"))</f>
        <v/>
      </c>
      <c r="E368" s="9" t="n"/>
      <c r="F368" s="9" t="n"/>
      <c r="G368" s="9" t="n"/>
      <c r="H368" s="24" t="n"/>
      <c r="I368" s="9" t="n"/>
      <c r="J368" s="24" t="n"/>
      <c r="K368" s="24" t="n"/>
      <c r="L368" s="24">
        <f>IF($H368="","",ROUND($H368*$J368-N($K368),2))</f>
        <v/>
      </c>
      <c r="M368" s="31" t="n"/>
      <c r="N368" s="24">
        <f>IF(OR($L368="",$M368=""),"",ROUND($L368-$L368/(1+$M368/100),2))</f>
        <v/>
      </c>
      <c r="O368" s="9" t="n"/>
      <c r="P368" s="9" t="n"/>
      <c r="Q368" s="9" t="n"/>
      <c r="R368" s="9" t="n"/>
      <c r="S368" s="9" t="n"/>
    </row>
    <row r="369">
      <c r="A369" s="9" t="n"/>
      <c r="B369" s="9" t="n"/>
      <c r="C369" s="30" t="n"/>
      <c r="D369" s="9">
        <f>IF($C369="","",YEAR($C369)&amp;"-"&amp;TEXT(MONTH($C369),"00"))</f>
        <v/>
      </c>
      <c r="E369" s="9" t="n"/>
      <c r="F369" s="9" t="n"/>
      <c r="G369" s="9" t="n"/>
      <c r="H369" s="24" t="n"/>
      <c r="I369" s="9" t="n"/>
      <c r="J369" s="24" t="n"/>
      <c r="K369" s="24" t="n"/>
      <c r="L369" s="24">
        <f>IF($H369="","",ROUND($H369*$J369-N($K369),2))</f>
        <v/>
      </c>
      <c r="M369" s="31" t="n"/>
      <c r="N369" s="24">
        <f>IF(OR($L369="",$M369=""),"",ROUND($L369-$L369/(1+$M369/100),2))</f>
        <v/>
      </c>
      <c r="O369" s="9" t="n"/>
      <c r="P369" s="9" t="n"/>
      <c r="Q369" s="9" t="n"/>
      <c r="R369" s="9" t="n"/>
      <c r="S369" s="9" t="n"/>
    </row>
    <row r="370">
      <c r="A370" s="9" t="n"/>
      <c r="B370" s="9" t="n"/>
      <c r="C370" s="30" t="n"/>
      <c r="D370" s="9">
        <f>IF($C370="","",YEAR($C370)&amp;"-"&amp;TEXT(MONTH($C370),"00"))</f>
        <v/>
      </c>
      <c r="E370" s="9" t="n"/>
      <c r="F370" s="9" t="n"/>
      <c r="G370" s="9" t="n"/>
      <c r="H370" s="24" t="n"/>
      <c r="I370" s="9" t="n"/>
      <c r="J370" s="24" t="n"/>
      <c r="K370" s="24" t="n"/>
      <c r="L370" s="24">
        <f>IF($H370="","",ROUND($H370*$J370-N($K370),2))</f>
        <v/>
      </c>
      <c r="M370" s="31" t="n"/>
      <c r="N370" s="24">
        <f>IF(OR($L370="",$M370=""),"",ROUND($L370-$L370/(1+$M370/100),2))</f>
        <v/>
      </c>
      <c r="O370" s="9" t="n"/>
      <c r="P370" s="9" t="n"/>
      <c r="Q370" s="9" t="n"/>
      <c r="R370" s="9" t="n"/>
      <c r="S370" s="9" t="n"/>
    </row>
    <row r="371">
      <c r="A371" s="9" t="n"/>
      <c r="B371" s="9" t="n"/>
      <c r="C371" s="30" t="n"/>
      <c r="D371" s="9">
        <f>IF($C371="","",YEAR($C371)&amp;"-"&amp;TEXT(MONTH($C371),"00"))</f>
        <v/>
      </c>
      <c r="E371" s="9" t="n"/>
      <c r="F371" s="9" t="n"/>
      <c r="G371" s="9" t="n"/>
      <c r="H371" s="24" t="n"/>
      <c r="I371" s="9" t="n"/>
      <c r="J371" s="24" t="n"/>
      <c r="K371" s="24" t="n"/>
      <c r="L371" s="24">
        <f>IF($H371="","",ROUND($H371*$J371-N($K371),2))</f>
        <v/>
      </c>
      <c r="M371" s="31" t="n"/>
      <c r="N371" s="24">
        <f>IF(OR($L371="",$M371=""),"",ROUND($L371-$L371/(1+$M371/100),2))</f>
        <v/>
      </c>
      <c r="O371" s="9" t="n"/>
      <c r="P371" s="9" t="n"/>
      <c r="Q371" s="9" t="n"/>
      <c r="R371" s="9" t="n"/>
      <c r="S371" s="9" t="n"/>
    </row>
    <row r="372">
      <c r="A372" s="9" t="n"/>
      <c r="B372" s="9" t="n"/>
      <c r="C372" s="30" t="n"/>
      <c r="D372" s="9">
        <f>IF($C372="","",YEAR($C372)&amp;"-"&amp;TEXT(MONTH($C372),"00"))</f>
        <v/>
      </c>
      <c r="E372" s="9" t="n"/>
      <c r="F372" s="9" t="n"/>
      <c r="G372" s="9" t="n"/>
      <c r="H372" s="24" t="n"/>
      <c r="I372" s="9" t="n"/>
      <c r="J372" s="24" t="n"/>
      <c r="K372" s="24" t="n"/>
      <c r="L372" s="24">
        <f>IF($H372="","",ROUND($H372*$J372-N($K372),2))</f>
        <v/>
      </c>
      <c r="M372" s="31" t="n"/>
      <c r="N372" s="24">
        <f>IF(OR($L372="",$M372=""),"",ROUND($L372-$L372/(1+$M372/100),2))</f>
        <v/>
      </c>
      <c r="O372" s="9" t="n"/>
      <c r="P372" s="9" t="n"/>
      <c r="Q372" s="9" t="n"/>
      <c r="R372" s="9" t="n"/>
      <c r="S372" s="9" t="n"/>
    </row>
    <row r="373">
      <c r="A373" s="9" t="n"/>
      <c r="B373" s="9" t="n"/>
      <c r="C373" s="30" t="n"/>
      <c r="D373" s="9">
        <f>IF($C373="","",YEAR($C373)&amp;"-"&amp;TEXT(MONTH($C373),"00"))</f>
        <v/>
      </c>
      <c r="E373" s="9" t="n"/>
      <c r="F373" s="9" t="n"/>
      <c r="G373" s="9" t="n"/>
      <c r="H373" s="24" t="n"/>
      <c r="I373" s="9" t="n"/>
      <c r="J373" s="24" t="n"/>
      <c r="K373" s="24" t="n"/>
      <c r="L373" s="24">
        <f>IF($H373="","",ROUND($H373*$J373-N($K373),2))</f>
        <v/>
      </c>
      <c r="M373" s="31" t="n"/>
      <c r="N373" s="24">
        <f>IF(OR($L373="",$M373=""),"",ROUND($L373-$L373/(1+$M373/100),2))</f>
        <v/>
      </c>
      <c r="O373" s="9" t="n"/>
      <c r="P373" s="9" t="n"/>
      <c r="Q373" s="9" t="n"/>
      <c r="R373" s="9" t="n"/>
      <c r="S373" s="9" t="n"/>
    </row>
    <row r="374">
      <c r="A374" s="9" t="n"/>
      <c r="B374" s="9" t="n"/>
      <c r="C374" s="30" t="n"/>
      <c r="D374" s="9">
        <f>IF($C374="","",YEAR($C374)&amp;"-"&amp;TEXT(MONTH($C374),"00"))</f>
        <v/>
      </c>
      <c r="E374" s="9" t="n"/>
      <c r="F374" s="9" t="n"/>
      <c r="G374" s="9" t="n"/>
      <c r="H374" s="24" t="n"/>
      <c r="I374" s="9" t="n"/>
      <c r="J374" s="24" t="n"/>
      <c r="K374" s="24" t="n"/>
      <c r="L374" s="24">
        <f>IF($H374="","",ROUND($H374*$J374-N($K374),2))</f>
        <v/>
      </c>
      <c r="M374" s="31" t="n"/>
      <c r="N374" s="24">
        <f>IF(OR($L374="",$M374=""),"",ROUND($L374-$L374/(1+$M374/100),2))</f>
        <v/>
      </c>
      <c r="O374" s="9" t="n"/>
      <c r="P374" s="9" t="n"/>
      <c r="Q374" s="9" t="n"/>
      <c r="R374" s="9" t="n"/>
      <c r="S374" s="9" t="n"/>
    </row>
    <row r="375">
      <c r="A375" s="9" t="n"/>
      <c r="B375" s="9" t="n"/>
      <c r="C375" s="30" t="n"/>
      <c r="D375" s="9">
        <f>IF($C375="","",YEAR($C375)&amp;"-"&amp;TEXT(MONTH($C375),"00"))</f>
        <v/>
      </c>
      <c r="E375" s="9" t="n"/>
      <c r="F375" s="9" t="n"/>
      <c r="G375" s="9" t="n"/>
      <c r="H375" s="24" t="n"/>
      <c r="I375" s="9" t="n"/>
      <c r="J375" s="24" t="n"/>
      <c r="K375" s="24" t="n"/>
      <c r="L375" s="24">
        <f>IF($H375="","",ROUND($H375*$J375-N($K375),2))</f>
        <v/>
      </c>
      <c r="M375" s="31" t="n"/>
      <c r="N375" s="24">
        <f>IF(OR($L375="",$M375=""),"",ROUND($L375-$L375/(1+$M375/100),2))</f>
        <v/>
      </c>
      <c r="O375" s="9" t="n"/>
      <c r="P375" s="9" t="n"/>
      <c r="Q375" s="9" t="n"/>
      <c r="R375" s="9" t="n"/>
      <c r="S375" s="9" t="n"/>
    </row>
    <row r="376">
      <c r="A376" s="9" t="n"/>
      <c r="B376" s="9" t="n"/>
      <c r="C376" s="30" t="n"/>
      <c r="D376" s="9">
        <f>IF($C376="","",YEAR($C376)&amp;"-"&amp;TEXT(MONTH($C376),"00"))</f>
        <v/>
      </c>
      <c r="E376" s="9" t="n"/>
      <c r="F376" s="9" t="n"/>
      <c r="G376" s="9" t="n"/>
      <c r="H376" s="24" t="n"/>
      <c r="I376" s="9" t="n"/>
      <c r="J376" s="24" t="n"/>
      <c r="K376" s="24" t="n"/>
      <c r="L376" s="24">
        <f>IF($H376="","",ROUND($H376*$J376-N($K376),2))</f>
        <v/>
      </c>
      <c r="M376" s="31" t="n"/>
      <c r="N376" s="24">
        <f>IF(OR($L376="",$M376=""),"",ROUND($L376-$L376/(1+$M376/100),2))</f>
        <v/>
      </c>
      <c r="O376" s="9" t="n"/>
      <c r="P376" s="9" t="n"/>
      <c r="Q376" s="9" t="n"/>
      <c r="R376" s="9" t="n"/>
      <c r="S376" s="9" t="n"/>
    </row>
    <row r="377">
      <c r="A377" s="9" t="n"/>
      <c r="B377" s="9" t="n"/>
      <c r="C377" s="30" t="n"/>
      <c r="D377" s="9">
        <f>IF($C377="","",YEAR($C377)&amp;"-"&amp;TEXT(MONTH($C377),"00"))</f>
        <v/>
      </c>
      <c r="E377" s="9" t="n"/>
      <c r="F377" s="9" t="n"/>
      <c r="G377" s="9" t="n"/>
      <c r="H377" s="24" t="n"/>
      <c r="I377" s="9" t="n"/>
      <c r="J377" s="24" t="n"/>
      <c r="K377" s="24" t="n"/>
      <c r="L377" s="24">
        <f>IF($H377="","",ROUND($H377*$J377-N($K377),2))</f>
        <v/>
      </c>
      <c r="M377" s="31" t="n"/>
      <c r="N377" s="24">
        <f>IF(OR($L377="",$M377=""),"",ROUND($L377-$L377/(1+$M377/100),2))</f>
        <v/>
      </c>
      <c r="O377" s="9" t="n"/>
      <c r="P377" s="9" t="n"/>
      <c r="Q377" s="9" t="n"/>
      <c r="R377" s="9" t="n"/>
      <c r="S377" s="9" t="n"/>
    </row>
    <row r="378">
      <c r="A378" s="9" t="n"/>
      <c r="B378" s="9" t="n"/>
      <c r="C378" s="30" t="n"/>
      <c r="D378" s="9">
        <f>IF($C378="","",YEAR($C378)&amp;"-"&amp;TEXT(MONTH($C378),"00"))</f>
        <v/>
      </c>
      <c r="E378" s="9" t="n"/>
      <c r="F378" s="9" t="n"/>
      <c r="G378" s="9" t="n"/>
      <c r="H378" s="24" t="n"/>
      <c r="I378" s="9" t="n"/>
      <c r="J378" s="24" t="n"/>
      <c r="K378" s="24" t="n"/>
      <c r="L378" s="24">
        <f>IF($H378="","",ROUND($H378*$J378-N($K378),2))</f>
        <v/>
      </c>
      <c r="M378" s="31" t="n"/>
      <c r="N378" s="24">
        <f>IF(OR($L378="",$M378=""),"",ROUND($L378-$L378/(1+$M378/100),2))</f>
        <v/>
      </c>
      <c r="O378" s="9" t="n"/>
      <c r="P378" s="9" t="n"/>
      <c r="Q378" s="9" t="n"/>
      <c r="R378" s="9" t="n"/>
      <c r="S378" s="9" t="n"/>
    </row>
    <row r="379">
      <c r="A379" s="9" t="n"/>
      <c r="B379" s="9" t="n"/>
      <c r="C379" s="30" t="n"/>
      <c r="D379" s="9">
        <f>IF($C379="","",YEAR($C379)&amp;"-"&amp;TEXT(MONTH($C379),"00"))</f>
        <v/>
      </c>
      <c r="E379" s="9" t="n"/>
      <c r="F379" s="9" t="n"/>
      <c r="G379" s="9" t="n"/>
      <c r="H379" s="24" t="n"/>
      <c r="I379" s="9" t="n"/>
      <c r="J379" s="24" t="n"/>
      <c r="K379" s="24" t="n"/>
      <c r="L379" s="24">
        <f>IF($H379="","",ROUND($H379*$J379-N($K379),2))</f>
        <v/>
      </c>
      <c r="M379" s="31" t="n"/>
      <c r="N379" s="24">
        <f>IF(OR($L379="",$M379=""),"",ROUND($L379-$L379/(1+$M379/100),2))</f>
        <v/>
      </c>
      <c r="O379" s="9" t="n"/>
      <c r="P379" s="9" t="n"/>
      <c r="Q379" s="9" t="n"/>
      <c r="R379" s="9" t="n"/>
      <c r="S379" s="9" t="n"/>
    </row>
    <row r="380">
      <c r="A380" s="9" t="n"/>
      <c r="B380" s="9" t="n"/>
      <c r="C380" s="30" t="n"/>
      <c r="D380" s="9">
        <f>IF($C380="","",YEAR($C380)&amp;"-"&amp;TEXT(MONTH($C380),"00"))</f>
        <v/>
      </c>
      <c r="E380" s="9" t="n"/>
      <c r="F380" s="9" t="n"/>
      <c r="G380" s="9" t="n"/>
      <c r="H380" s="24" t="n"/>
      <c r="I380" s="9" t="n"/>
      <c r="J380" s="24" t="n"/>
      <c r="K380" s="24" t="n"/>
      <c r="L380" s="24">
        <f>IF($H380="","",ROUND($H380*$J380-N($K380),2))</f>
        <v/>
      </c>
      <c r="M380" s="31" t="n"/>
      <c r="N380" s="24">
        <f>IF(OR($L380="",$M380=""),"",ROUND($L380-$L380/(1+$M380/100),2))</f>
        <v/>
      </c>
      <c r="O380" s="9" t="n"/>
      <c r="P380" s="9" t="n"/>
      <c r="Q380" s="9" t="n"/>
      <c r="R380" s="9" t="n"/>
      <c r="S380" s="9" t="n"/>
    </row>
    <row r="381">
      <c r="A381" s="9" t="n"/>
      <c r="B381" s="9" t="n"/>
      <c r="C381" s="30" t="n"/>
      <c r="D381" s="9">
        <f>IF($C381="","",YEAR($C381)&amp;"-"&amp;TEXT(MONTH($C381),"00"))</f>
        <v/>
      </c>
      <c r="E381" s="9" t="n"/>
      <c r="F381" s="9" t="n"/>
      <c r="G381" s="9" t="n"/>
      <c r="H381" s="24" t="n"/>
      <c r="I381" s="9" t="n"/>
      <c r="J381" s="24" t="n"/>
      <c r="K381" s="24" t="n"/>
      <c r="L381" s="24">
        <f>IF($H381="","",ROUND($H381*$J381-N($K381),2))</f>
        <v/>
      </c>
      <c r="M381" s="31" t="n"/>
      <c r="N381" s="24">
        <f>IF(OR($L381="",$M381=""),"",ROUND($L381-$L381/(1+$M381/100),2))</f>
        <v/>
      </c>
      <c r="O381" s="9" t="n"/>
      <c r="P381" s="9" t="n"/>
      <c r="Q381" s="9" t="n"/>
      <c r="R381" s="9" t="n"/>
      <c r="S381" s="9" t="n"/>
    </row>
    <row r="382">
      <c r="A382" s="9" t="n"/>
      <c r="B382" s="9" t="n"/>
      <c r="C382" s="30" t="n"/>
      <c r="D382" s="9">
        <f>IF($C382="","",YEAR($C382)&amp;"-"&amp;TEXT(MONTH($C382),"00"))</f>
        <v/>
      </c>
      <c r="E382" s="9" t="n"/>
      <c r="F382" s="9" t="n"/>
      <c r="G382" s="9" t="n"/>
      <c r="H382" s="24" t="n"/>
      <c r="I382" s="9" t="n"/>
      <c r="J382" s="24" t="n"/>
      <c r="K382" s="24" t="n"/>
      <c r="L382" s="24">
        <f>IF($H382="","",ROUND($H382*$J382-N($K382),2))</f>
        <v/>
      </c>
      <c r="M382" s="31" t="n"/>
      <c r="N382" s="24">
        <f>IF(OR($L382="",$M382=""),"",ROUND($L382-$L382/(1+$M382/100),2))</f>
        <v/>
      </c>
      <c r="O382" s="9" t="n"/>
      <c r="P382" s="9" t="n"/>
      <c r="Q382" s="9" t="n"/>
      <c r="R382" s="9" t="n"/>
      <c r="S382" s="9" t="n"/>
    </row>
    <row r="383">
      <c r="A383" s="9" t="n"/>
      <c r="B383" s="9" t="n"/>
      <c r="C383" s="30" t="n"/>
      <c r="D383" s="9">
        <f>IF($C383="","",YEAR($C383)&amp;"-"&amp;TEXT(MONTH($C383),"00"))</f>
        <v/>
      </c>
      <c r="E383" s="9" t="n"/>
      <c r="F383" s="9" t="n"/>
      <c r="G383" s="9" t="n"/>
      <c r="H383" s="24" t="n"/>
      <c r="I383" s="9" t="n"/>
      <c r="J383" s="24" t="n"/>
      <c r="K383" s="24" t="n"/>
      <c r="L383" s="24">
        <f>IF($H383="","",ROUND($H383*$J383-N($K383),2))</f>
        <v/>
      </c>
      <c r="M383" s="31" t="n"/>
      <c r="N383" s="24">
        <f>IF(OR($L383="",$M383=""),"",ROUND($L383-$L383/(1+$M383/100),2))</f>
        <v/>
      </c>
      <c r="O383" s="9" t="n"/>
      <c r="P383" s="9" t="n"/>
      <c r="Q383" s="9" t="n"/>
      <c r="R383" s="9" t="n"/>
      <c r="S383" s="9" t="n"/>
    </row>
    <row r="384">
      <c r="A384" s="9" t="n"/>
      <c r="B384" s="9" t="n"/>
      <c r="C384" s="30" t="n"/>
      <c r="D384" s="9">
        <f>IF($C384="","",YEAR($C384)&amp;"-"&amp;TEXT(MONTH($C384),"00"))</f>
        <v/>
      </c>
      <c r="E384" s="9" t="n"/>
      <c r="F384" s="9" t="n"/>
      <c r="G384" s="9" t="n"/>
      <c r="H384" s="24" t="n"/>
      <c r="I384" s="9" t="n"/>
      <c r="J384" s="24" t="n"/>
      <c r="K384" s="24" t="n"/>
      <c r="L384" s="24">
        <f>IF($H384="","",ROUND($H384*$J384-N($K384),2))</f>
        <v/>
      </c>
      <c r="M384" s="31" t="n"/>
      <c r="N384" s="24">
        <f>IF(OR($L384="",$M384=""),"",ROUND($L384-$L384/(1+$M384/100),2))</f>
        <v/>
      </c>
      <c r="O384" s="9" t="n"/>
      <c r="P384" s="9" t="n"/>
      <c r="Q384" s="9" t="n"/>
      <c r="R384" s="9" t="n"/>
      <c r="S384" s="9" t="n"/>
    </row>
    <row r="385">
      <c r="A385" s="9" t="n"/>
      <c r="B385" s="9" t="n"/>
      <c r="C385" s="30" t="n"/>
      <c r="D385" s="9">
        <f>IF($C385="","",YEAR($C385)&amp;"-"&amp;TEXT(MONTH($C385),"00"))</f>
        <v/>
      </c>
      <c r="E385" s="9" t="n"/>
      <c r="F385" s="9" t="n"/>
      <c r="G385" s="9" t="n"/>
      <c r="H385" s="24" t="n"/>
      <c r="I385" s="9" t="n"/>
      <c r="J385" s="24" t="n"/>
      <c r="K385" s="24" t="n"/>
      <c r="L385" s="24">
        <f>IF($H385="","",ROUND($H385*$J385-N($K385),2))</f>
        <v/>
      </c>
      <c r="M385" s="31" t="n"/>
      <c r="N385" s="24">
        <f>IF(OR($L385="",$M385=""),"",ROUND($L385-$L385/(1+$M385/100),2))</f>
        <v/>
      </c>
      <c r="O385" s="9" t="n"/>
      <c r="P385" s="9" t="n"/>
      <c r="Q385" s="9" t="n"/>
      <c r="R385" s="9" t="n"/>
      <c r="S385" s="9" t="n"/>
    </row>
    <row r="386">
      <c r="A386" s="9" t="n"/>
      <c r="B386" s="9" t="n"/>
      <c r="C386" s="30" t="n"/>
      <c r="D386" s="9">
        <f>IF($C386="","",YEAR($C386)&amp;"-"&amp;TEXT(MONTH($C386),"00"))</f>
        <v/>
      </c>
      <c r="E386" s="9" t="n"/>
      <c r="F386" s="9" t="n"/>
      <c r="G386" s="9" t="n"/>
      <c r="H386" s="24" t="n"/>
      <c r="I386" s="9" t="n"/>
      <c r="J386" s="24" t="n"/>
      <c r="K386" s="24" t="n"/>
      <c r="L386" s="24">
        <f>IF($H386="","",ROUND($H386*$J386-N($K386),2))</f>
        <v/>
      </c>
      <c r="M386" s="31" t="n"/>
      <c r="N386" s="24">
        <f>IF(OR($L386="",$M386=""),"",ROUND($L386-$L386/(1+$M386/100),2))</f>
        <v/>
      </c>
      <c r="O386" s="9" t="n"/>
      <c r="P386" s="9" t="n"/>
      <c r="Q386" s="9" t="n"/>
      <c r="R386" s="9" t="n"/>
      <c r="S386" s="9" t="n"/>
    </row>
    <row r="387">
      <c r="A387" s="9" t="n"/>
      <c r="B387" s="9" t="n"/>
      <c r="C387" s="30" t="n"/>
      <c r="D387" s="9">
        <f>IF($C387="","",YEAR($C387)&amp;"-"&amp;TEXT(MONTH($C387),"00"))</f>
        <v/>
      </c>
      <c r="E387" s="9" t="n"/>
      <c r="F387" s="9" t="n"/>
      <c r="G387" s="9" t="n"/>
      <c r="H387" s="24" t="n"/>
      <c r="I387" s="9" t="n"/>
      <c r="J387" s="24" t="n"/>
      <c r="K387" s="24" t="n"/>
      <c r="L387" s="24">
        <f>IF($H387="","",ROUND($H387*$J387-N($K387),2))</f>
        <v/>
      </c>
      <c r="M387" s="31" t="n"/>
      <c r="N387" s="24">
        <f>IF(OR($L387="",$M387=""),"",ROUND($L387-$L387/(1+$M387/100),2))</f>
        <v/>
      </c>
      <c r="O387" s="9" t="n"/>
      <c r="P387" s="9" t="n"/>
      <c r="Q387" s="9" t="n"/>
      <c r="R387" s="9" t="n"/>
      <c r="S387" s="9" t="n"/>
    </row>
    <row r="388">
      <c r="A388" s="9" t="n"/>
      <c r="B388" s="9" t="n"/>
      <c r="C388" s="30" t="n"/>
      <c r="D388" s="9">
        <f>IF($C388="","",YEAR($C388)&amp;"-"&amp;TEXT(MONTH($C388),"00"))</f>
        <v/>
      </c>
      <c r="E388" s="9" t="n"/>
      <c r="F388" s="9" t="n"/>
      <c r="G388" s="9" t="n"/>
      <c r="H388" s="24" t="n"/>
      <c r="I388" s="9" t="n"/>
      <c r="J388" s="24" t="n"/>
      <c r="K388" s="24" t="n"/>
      <c r="L388" s="24">
        <f>IF($H388="","",ROUND($H388*$J388-N($K388),2))</f>
        <v/>
      </c>
      <c r="M388" s="31" t="n"/>
      <c r="N388" s="24">
        <f>IF(OR($L388="",$M388=""),"",ROUND($L388-$L388/(1+$M388/100),2))</f>
        <v/>
      </c>
      <c r="O388" s="9" t="n"/>
      <c r="P388" s="9" t="n"/>
      <c r="Q388" s="9" t="n"/>
      <c r="R388" s="9" t="n"/>
      <c r="S388" s="9" t="n"/>
    </row>
    <row r="389">
      <c r="A389" s="9" t="n"/>
      <c r="B389" s="9" t="n"/>
      <c r="C389" s="30" t="n"/>
      <c r="D389" s="9">
        <f>IF($C389="","",YEAR($C389)&amp;"-"&amp;TEXT(MONTH($C389),"00"))</f>
        <v/>
      </c>
      <c r="E389" s="9" t="n"/>
      <c r="F389" s="9" t="n"/>
      <c r="G389" s="9" t="n"/>
      <c r="H389" s="24" t="n"/>
      <c r="I389" s="9" t="n"/>
      <c r="J389" s="24" t="n"/>
      <c r="K389" s="24" t="n"/>
      <c r="L389" s="24">
        <f>IF($H389="","",ROUND($H389*$J389-N($K389),2))</f>
        <v/>
      </c>
      <c r="M389" s="31" t="n"/>
      <c r="N389" s="24">
        <f>IF(OR($L389="",$M389=""),"",ROUND($L389-$L389/(1+$M389/100),2))</f>
        <v/>
      </c>
      <c r="O389" s="9" t="n"/>
      <c r="P389" s="9" t="n"/>
      <c r="Q389" s="9" t="n"/>
      <c r="R389" s="9" t="n"/>
      <c r="S389" s="9" t="n"/>
    </row>
    <row r="390">
      <c r="A390" s="9" t="n"/>
      <c r="B390" s="9" t="n"/>
      <c r="C390" s="30" t="n"/>
      <c r="D390" s="9">
        <f>IF($C390="","",YEAR($C390)&amp;"-"&amp;TEXT(MONTH($C390),"00"))</f>
        <v/>
      </c>
      <c r="E390" s="9" t="n"/>
      <c r="F390" s="9" t="n"/>
      <c r="G390" s="9" t="n"/>
      <c r="H390" s="24" t="n"/>
      <c r="I390" s="9" t="n"/>
      <c r="J390" s="24" t="n"/>
      <c r="K390" s="24" t="n"/>
      <c r="L390" s="24">
        <f>IF($H390="","",ROUND($H390*$J390-N($K390),2))</f>
        <v/>
      </c>
      <c r="M390" s="31" t="n"/>
      <c r="N390" s="24">
        <f>IF(OR($L390="",$M390=""),"",ROUND($L390-$L390/(1+$M390/100),2))</f>
        <v/>
      </c>
      <c r="O390" s="9" t="n"/>
      <c r="P390" s="9" t="n"/>
      <c r="Q390" s="9" t="n"/>
      <c r="R390" s="9" t="n"/>
      <c r="S390" s="9" t="n"/>
    </row>
    <row r="391">
      <c r="A391" s="9" t="n"/>
      <c r="B391" s="9" t="n"/>
      <c r="C391" s="30" t="n"/>
      <c r="D391" s="9">
        <f>IF($C391="","",YEAR($C391)&amp;"-"&amp;TEXT(MONTH($C391),"00"))</f>
        <v/>
      </c>
      <c r="E391" s="9" t="n"/>
      <c r="F391" s="9" t="n"/>
      <c r="G391" s="9" t="n"/>
      <c r="H391" s="24" t="n"/>
      <c r="I391" s="9" t="n"/>
      <c r="J391" s="24" t="n"/>
      <c r="K391" s="24" t="n"/>
      <c r="L391" s="24">
        <f>IF($H391="","",ROUND($H391*$J391-N($K391),2))</f>
        <v/>
      </c>
      <c r="M391" s="31" t="n"/>
      <c r="N391" s="24">
        <f>IF(OR($L391="",$M391=""),"",ROUND($L391-$L391/(1+$M391/100),2))</f>
        <v/>
      </c>
      <c r="O391" s="9" t="n"/>
      <c r="P391" s="9" t="n"/>
      <c r="Q391" s="9" t="n"/>
      <c r="R391" s="9" t="n"/>
      <c r="S391" s="9" t="n"/>
    </row>
    <row r="392">
      <c r="A392" s="9" t="n"/>
      <c r="B392" s="9" t="n"/>
      <c r="C392" s="30" t="n"/>
      <c r="D392" s="9">
        <f>IF($C392="","",YEAR($C392)&amp;"-"&amp;TEXT(MONTH($C392),"00"))</f>
        <v/>
      </c>
      <c r="E392" s="9" t="n"/>
      <c r="F392" s="9" t="n"/>
      <c r="G392" s="9" t="n"/>
      <c r="H392" s="24" t="n"/>
      <c r="I392" s="9" t="n"/>
      <c r="J392" s="24" t="n"/>
      <c r="K392" s="24" t="n"/>
      <c r="L392" s="24">
        <f>IF($H392="","",ROUND($H392*$J392-N($K392),2))</f>
        <v/>
      </c>
      <c r="M392" s="31" t="n"/>
      <c r="N392" s="24">
        <f>IF(OR($L392="",$M392=""),"",ROUND($L392-$L392/(1+$M392/100),2))</f>
        <v/>
      </c>
      <c r="O392" s="9" t="n"/>
      <c r="P392" s="9" t="n"/>
      <c r="Q392" s="9" t="n"/>
      <c r="R392" s="9" t="n"/>
      <c r="S392" s="9" t="n"/>
    </row>
    <row r="393">
      <c r="A393" s="9" t="n"/>
      <c r="B393" s="9" t="n"/>
      <c r="C393" s="30" t="n"/>
      <c r="D393" s="9">
        <f>IF($C393="","",YEAR($C393)&amp;"-"&amp;TEXT(MONTH($C393),"00"))</f>
        <v/>
      </c>
      <c r="E393" s="9" t="n"/>
      <c r="F393" s="9" t="n"/>
      <c r="G393" s="9" t="n"/>
      <c r="H393" s="24" t="n"/>
      <c r="I393" s="9" t="n"/>
      <c r="J393" s="24" t="n"/>
      <c r="K393" s="24" t="n"/>
      <c r="L393" s="24">
        <f>IF($H393="","",ROUND($H393*$J393-N($K393),2))</f>
        <v/>
      </c>
      <c r="M393" s="31" t="n"/>
      <c r="N393" s="24">
        <f>IF(OR($L393="",$M393=""),"",ROUND($L393-$L393/(1+$M393/100),2))</f>
        <v/>
      </c>
      <c r="O393" s="9" t="n"/>
      <c r="P393" s="9" t="n"/>
      <c r="Q393" s="9" t="n"/>
      <c r="R393" s="9" t="n"/>
      <c r="S393" s="9" t="n"/>
    </row>
    <row r="394">
      <c r="A394" s="9" t="n"/>
      <c r="B394" s="9" t="n"/>
      <c r="C394" s="30" t="n"/>
      <c r="D394" s="9">
        <f>IF($C394="","",YEAR($C394)&amp;"-"&amp;TEXT(MONTH($C394),"00"))</f>
        <v/>
      </c>
      <c r="E394" s="9" t="n"/>
      <c r="F394" s="9" t="n"/>
      <c r="G394" s="9" t="n"/>
      <c r="H394" s="24" t="n"/>
      <c r="I394" s="9" t="n"/>
      <c r="J394" s="24" t="n"/>
      <c r="K394" s="24" t="n"/>
      <c r="L394" s="24">
        <f>IF($H394="","",ROUND($H394*$J394-N($K394),2))</f>
        <v/>
      </c>
      <c r="M394" s="31" t="n"/>
      <c r="N394" s="24">
        <f>IF(OR($L394="",$M394=""),"",ROUND($L394-$L394/(1+$M394/100),2))</f>
        <v/>
      </c>
      <c r="O394" s="9" t="n"/>
      <c r="P394" s="9" t="n"/>
      <c r="Q394" s="9" t="n"/>
      <c r="R394" s="9" t="n"/>
      <c r="S394" s="9" t="n"/>
    </row>
    <row r="395">
      <c r="A395" s="9" t="n"/>
      <c r="B395" s="9" t="n"/>
      <c r="C395" s="30" t="n"/>
      <c r="D395" s="9">
        <f>IF($C395="","",YEAR($C395)&amp;"-"&amp;TEXT(MONTH($C395),"00"))</f>
        <v/>
      </c>
      <c r="E395" s="9" t="n"/>
      <c r="F395" s="9" t="n"/>
      <c r="G395" s="9" t="n"/>
      <c r="H395" s="24" t="n"/>
      <c r="I395" s="9" t="n"/>
      <c r="J395" s="24" t="n"/>
      <c r="K395" s="24" t="n"/>
      <c r="L395" s="24">
        <f>IF($H395="","",ROUND($H395*$J395-N($K395),2))</f>
        <v/>
      </c>
      <c r="M395" s="31" t="n"/>
      <c r="N395" s="24">
        <f>IF(OR($L395="",$M395=""),"",ROUND($L395-$L395/(1+$M395/100),2))</f>
        <v/>
      </c>
      <c r="O395" s="9" t="n"/>
      <c r="P395" s="9" t="n"/>
      <c r="Q395" s="9" t="n"/>
      <c r="R395" s="9" t="n"/>
      <c r="S395" s="9" t="n"/>
    </row>
    <row r="396">
      <c r="A396" s="9" t="n"/>
      <c r="B396" s="9" t="n"/>
      <c r="C396" s="30" t="n"/>
      <c r="D396" s="9">
        <f>IF($C396="","",YEAR($C396)&amp;"-"&amp;TEXT(MONTH($C396),"00"))</f>
        <v/>
      </c>
      <c r="E396" s="9" t="n"/>
      <c r="F396" s="9" t="n"/>
      <c r="G396" s="9" t="n"/>
      <c r="H396" s="24" t="n"/>
      <c r="I396" s="9" t="n"/>
      <c r="J396" s="24" t="n"/>
      <c r="K396" s="24" t="n"/>
      <c r="L396" s="24">
        <f>IF($H396="","",ROUND($H396*$J396-N($K396),2))</f>
        <v/>
      </c>
      <c r="M396" s="31" t="n"/>
      <c r="N396" s="24">
        <f>IF(OR($L396="",$M396=""),"",ROUND($L396-$L396/(1+$M396/100),2))</f>
        <v/>
      </c>
      <c r="O396" s="9" t="n"/>
      <c r="P396" s="9" t="n"/>
      <c r="Q396" s="9" t="n"/>
      <c r="R396" s="9" t="n"/>
      <c r="S396" s="9" t="n"/>
    </row>
    <row r="397">
      <c r="A397" s="9" t="n"/>
      <c r="B397" s="9" t="n"/>
      <c r="C397" s="30" t="n"/>
      <c r="D397" s="9">
        <f>IF($C397="","",YEAR($C397)&amp;"-"&amp;TEXT(MONTH($C397),"00"))</f>
        <v/>
      </c>
      <c r="E397" s="9" t="n"/>
      <c r="F397" s="9" t="n"/>
      <c r="G397" s="9" t="n"/>
      <c r="H397" s="24" t="n"/>
      <c r="I397" s="9" t="n"/>
      <c r="J397" s="24" t="n"/>
      <c r="K397" s="24" t="n"/>
      <c r="L397" s="24">
        <f>IF($H397="","",ROUND($H397*$J397-N($K397),2))</f>
        <v/>
      </c>
      <c r="M397" s="31" t="n"/>
      <c r="N397" s="24">
        <f>IF(OR($L397="",$M397=""),"",ROUND($L397-$L397/(1+$M397/100),2))</f>
        <v/>
      </c>
      <c r="O397" s="9" t="n"/>
      <c r="P397" s="9" t="n"/>
      <c r="Q397" s="9" t="n"/>
      <c r="R397" s="9" t="n"/>
      <c r="S397" s="9" t="n"/>
    </row>
    <row r="398">
      <c r="A398" s="9" t="n"/>
      <c r="B398" s="9" t="n"/>
      <c r="C398" s="30" t="n"/>
      <c r="D398" s="9">
        <f>IF($C398="","",YEAR($C398)&amp;"-"&amp;TEXT(MONTH($C398),"00"))</f>
        <v/>
      </c>
      <c r="E398" s="9" t="n"/>
      <c r="F398" s="9" t="n"/>
      <c r="G398" s="9" t="n"/>
      <c r="H398" s="24" t="n"/>
      <c r="I398" s="9" t="n"/>
      <c r="J398" s="24" t="n"/>
      <c r="K398" s="24" t="n"/>
      <c r="L398" s="24">
        <f>IF($H398="","",ROUND($H398*$J398-N($K398),2))</f>
        <v/>
      </c>
      <c r="M398" s="31" t="n"/>
      <c r="N398" s="24">
        <f>IF(OR($L398="",$M398=""),"",ROUND($L398-$L398/(1+$M398/100),2))</f>
        <v/>
      </c>
      <c r="O398" s="9" t="n"/>
      <c r="P398" s="9" t="n"/>
      <c r="Q398" s="9" t="n"/>
      <c r="R398" s="9" t="n"/>
      <c r="S398" s="9" t="n"/>
    </row>
    <row r="399">
      <c r="A399" s="9" t="n"/>
      <c r="B399" s="9" t="n"/>
      <c r="C399" s="30" t="n"/>
      <c r="D399" s="9">
        <f>IF($C399="","",YEAR($C399)&amp;"-"&amp;TEXT(MONTH($C399),"00"))</f>
        <v/>
      </c>
      <c r="E399" s="9" t="n"/>
      <c r="F399" s="9" t="n"/>
      <c r="G399" s="9" t="n"/>
      <c r="H399" s="24" t="n"/>
      <c r="I399" s="9" t="n"/>
      <c r="J399" s="24" t="n"/>
      <c r="K399" s="24" t="n"/>
      <c r="L399" s="24">
        <f>IF($H399="","",ROUND($H399*$J399-N($K399),2))</f>
        <v/>
      </c>
      <c r="M399" s="31" t="n"/>
      <c r="N399" s="24">
        <f>IF(OR($L399="",$M399=""),"",ROUND($L399-$L399/(1+$M399/100),2))</f>
        <v/>
      </c>
      <c r="O399" s="9" t="n"/>
      <c r="P399" s="9" t="n"/>
      <c r="Q399" s="9" t="n"/>
      <c r="R399" s="9" t="n"/>
      <c r="S399" s="9" t="n"/>
    </row>
    <row r="400">
      <c r="A400" s="9" t="n"/>
      <c r="B400" s="9" t="n"/>
      <c r="C400" s="30" t="n"/>
      <c r="D400" s="9">
        <f>IF($C400="","",YEAR($C400)&amp;"-"&amp;TEXT(MONTH($C400),"00"))</f>
        <v/>
      </c>
      <c r="E400" s="9" t="n"/>
      <c r="F400" s="9" t="n"/>
      <c r="G400" s="9" t="n"/>
      <c r="H400" s="24" t="n"/>
      <c r="I400" s="9" t="n"/>
      <c r="J400" s="24" t="n"/>
      <c r="K400" s="24" t="n"/>
      <c r="L400" s="24">
        <f>IF($H400="","",ROUND($H400*$J400-N($K400),2))</f>
        <v/>
      </c>
      <c r="M400" s="31" t="n"/>
      <c r="N400" s="24">
        <f>IF(OR($L400="",$M400=""),"",ROUND($L400-$L400/(1+$M400/100),2))</f>
        <v/>
      </c>
      <c r="O400" s="9" t="n"/>
      <c r="P400" s="9" t="n"/>
      <c r="Q400" s="9" t="n"/>
      <c r="R400" s="9" t="n"/>
      <c r="S400" s="9" t="n"/>
    </row>
    <row r="401">
      <c r="A401" s="9" t="n"/>
      <c r="B401" s="9" t="n"/>
      <c r="C401" s="30" t="n"/>
      <c r="D401" s="9">
        <f>IF($C401="","",YEAR($C401)&amp;"-"&amp;TEXT(MONTH($C401),"00"))</f>
        <v/>
      </c>
      <c r="E401" s="9" t="n"/>
      <c r="F401" s="9" t="n"/>
      <c r="G401" s="9" t="n"/>
      <c r="H401" s="24" t="n"/>
      <c r="I401" s="9" t="n"/>
      <c r="J401" s="24" t="n"/>
      <c r="K401" s="24" t="n"/>
      <c r="L401" s="24">
        <f>IF($H401="","",ROUND($H401*$J401-N($K401),2))</f>
        <v/>
      </c>
      <c r="M401" s="31" t="n"/>
      <c r="N401" s="24">
        <f>IF(OR($L401="",$M401=""),"",ROUND($L401-$L401/(1+$M401/100),2))</f>
        <v/>
      </c>
      <c r="O401" s="9" t="n"/>
      <c r="P401" s="9" t="n"/>
      <c r="Q401" s="9" t="n"/>
      <c r="R401" s="9" t="n"/>
      <c r="S401" s="9" t="n"/>
    </row>
    <row r="402">
      <c r="A402" s="9" t="n"/>
      <c r="B402" s="9" t="n"/>
      <c r="C402" s="30" t="n"/>
      <c r="D402" s="9">
        <f>IF($C402="","",YEAR($C402)&amp;"-"&amp;TEXT(MONTH($C402),"00"))</f>
        <v/>
      </c>
      <c r="E402" s="9" t="n"/>
      <c r="F402" s="9" t="n"/>
      <c r="G402" s="9" t="n"/>
      <c r="H402" s="24" t="n"/>
      <c r="I402" s="9" t="n"/>
      <c r="J402" s="24" t="n"/>
      <c r="K402" s="24" t="n"/>
      <c r="L402" s="24">
        <f>IF($H402="","",ROUND($H402*$J402-N($K402),2))</f>
        <v/>
      </c>
      <c r="M402" s="31" t="n"/>
      <c r="N402" s="24">
        <f>IF(OR($L402="",$M402=""),"",ROUND($L402-$L402/(1+$M402/100),2))</f>
        <v/>
      </c>
      <c r="O402" s="9" t="n"/>
      <c r="P402" s="9" t="n"/>
      <c r="Q402" s="9" t="n"/>
      <c r="R402" s="9" t="n"/>
      <c r="S402" s="9" t="n"/>
    </row>
    <row r="403">
      <c r="A403" s="9" t="n"/>
      <c r="B403" s="9" t="n"/>
      <c r="C403" s="30" t="n"/>
      <c r="D403" s="9">
        <f>IF($C403="","",YEAR($C403)&amp;"-"&amp;TEXT(MONTH($C403),"00"))</f>
        <v/>
      </c>
      <c r="E403" s="9" t="n"/>
      <c r="F403" s="9" t="n"/>
      <c r="G403" s="9" t="n"/>
      <c r="H403" s="24" t="n"/>
      <c r="I403" s="9" t="n"/>
      <c r="J403" s="24" t="n"/>
      <c r="K403" s="24" t="n"/>
      <c r="L403" s="24">
        <f>IF($H403="","",ROUND($H403*$J403-N($K403),2))</f>
        <v/>
      </c>
      <c r="M403" s="31" t="n"/>
      <c r="N403" s="24">
        <f>IF(OR($L403="",$M403=""),"",ROUND($L403-$L403/(1+$M403/100),2))</f>
        <v/>
      </c>
      <c r="O403" s="9" t="n"/>
      <c r="P403" s="9" t="n"/>
      <c r="Q403" s="9" t="n"/>
      <c r="R403" s="9" t="n"/>
      <c r="S403" s="9" t="n"/>
    </row>
    <row r="404">
      <c r="A404" s="9" t="n"/>
      <c r="B404" s="9" t="n"/>
      <c r="C404" s="30" t="n"/>
      <c r="D404" s="9">
        <f>IF($C404="","",YEAR($C404)&amp;"-"&amp;TEXT(MONTH($C404),"00"))</f>
        <v/>
      </c>
      <c r="E404" s="9" t="n"/>
      <c r="F404" s="9" t="n"/>
      <c r="G404" s="9" t="n"/>
      <c r="H404" s="24" t="n"/>
      <c r="I404" s="9" t="n"/>
      <c r="J404" s="24" t="n"/>
      <c r="K404" s="24" t="n"/>
      <c r="L404" s="24">
        <f>IF($H404="","",ROUND($H404*$J404-N($K404),2))</f>
        <v/>
      </c>
      <c r="M404" s="31" t="n"/>
      <c r="N404" s="24">
        <f>IF(OR($L404="",$M404=""),"",ROUND($L404-$L404/(1+$M404/100),2))</f>
        <v/>
      </c>
      <c r="O404" s="9" t="n"/>
      <c r="P404" s="9" t="n"/>
      <c r="Q404" s="9" t="n"/>
      <c r="R404" s="9" t="n"/>
      <c r="S404" s="9" t="n"/>
    </row>
    <row r="405">
      <c r="A405" s="9" t="n"/>
      <c r="B405" s="9" t="n"/>
      <c r="C405" s="30" t="n"/>
      <c r="D405" s="9">
        <f>IF($C405="","",YEAR($C405)&amp;"-"&amp;TEXT(MONTH($C405),"00"))</f>
        <v/>
      </c>
      <c r="E405" s="9" t="n"/>
      <c r="F405" s="9" t="n"/>
      <c r="G405" s="9" t="n"/>
      <c r="H405" s="24" t="n"/>
      <c r="I405" s="9" t="n"/>
      <c r="J405" s="24" t="n"/>
      <c r="K405" s="24" t="n"/>
      <c r="L405" s="24">
        <f>IF($H405="","",ROUND($H405*$J405-N($K405),2))</f>
        <v/>
      </c>
      <c r="M405" s="31" t="n"/>
      <c r="N405" s="24">
        <f>IF(OR($L405="",$M405=""),"",ROUND($L405-$L405/(1+$M405/100),2))</f>
        <v/>
      </c>
      <c r="O405" s="9" t="n"/>
      <c r="P405" s="9" t="n"/>
      <c r="Q405" s="9" t="n"/>
      <c r="R405" s="9" t="n"/>
      <c r="S405" s="9" t="n"/>
    </row>
    <row r="406">
      <c r="A406" s="9" t="n"/>
      <c r="B406" s="9" t="n"/>
      <c r="C406" s="30" t="n"/>
      <c r="D406" s="9">
        <f>IF($C406="","",YEAR($C406)&amp;"-"&amp;TEXT(MONTH($C406),"00"))</f>
        <v/>
      </c>
      <c r="E406" s="9" t="n"/>
      <c r="F406" s="9" t="n"/>
      <c r="G406" s="9" t="n"/>
      <c r="H406" s="24" t="n"/>
      <c r="I406" s="9" t="n"/>
      <c r="J406" s="24" t="n"/>
      <c r="K406" s="24" t="n"/>
      <c r="L406" s="24">
        <f>IF($H406="","",ROUND($H406*$J406-N($K406),2))</f>
        <v/>
      </c>
      <c r="M406" s="31" t="n"/>
      <c r="N406" s="24">
        <f>IF(OR($L406="",$M406=""),"",ROUND($L406-$L406/(1+$M406/100),2))</f>
        <v/>
      </c>
      <c r="O406" s="9" t="n"/>
      <c r="P406" s="9" t="n"/>
      <c r="Q406" s="9" t="n"/>
      <c r="R406" s="9" t="n"/>
      <c r="S406" s="9" t="n"/>
    </row>
    <row r="407">
      <c r="A407" s="9" t="n"/>
      <c r="B407" s="9" t="n"/>
      <c r="C407" s="30" t="n"/>
      <c r="D407" s="9">
        <f>IF($C407="","",YEAR($C407)&amp;"-"&amp;TEXT(MONTH($C407),"00"))</f>
        <v/>
      </c>
      <c r="E407" s="9" t="n"/>
      <c r="F407" s="9" t="n"/>
      <c r="G407" s="9" t="n"/>
      <c r="H407" s="24" t="n"/>
      <c r="I407" s="9" t="n"/>
      <c r="J407" s="24" t="n"/>
      <c r="K407" s="24" t="n"/>
      <c r="L407" s="24">
        <f>IF($H407="","",ROUND($H407*$J407-N($K407),2))</f>
        <v/>
      </c>
      <c r="M407" s="31" t="n"/>
      <c r="N407" s="24">
        <f>IF(OR($L407="",$M407=""),"",ROUND($L407-$L407/(1+$M407/100),2))</f>
        <v/>
      </c>
      <c r="O407" s="9" t="n"/>
      <c r="P407" s="9" t="n"/>
      <c r="Q407" s="9" t="n"/>
      <c r="R407" s="9" t="n"/>
      <c r="S407" s="9" t="n"/>
    </row>
    <row r="408">
      <c r="A408" s="9" t="n"/>
      <c r="B408" s="9" t="n"/>
      <c r="C408" s="30" t="n"/>
      <c r="D408" s="9">
        <f>IF($C408="","",YEAR($C408)&amp;"-"&amp;TEXT(MONTH($C408),"00"))</f>
        <v/>
      </c>
      <c r="E408" s="9" t="n"/>
      <c r="F408" s="9" t="n"/>
      <c r="G408" s="9" t="n"/>
      <c r="H408" s="24" t="n"/>
      <c r="I408" s="9" t="n"/>
      <c r="J408" s="24" t="n"/>
      <c r="K408" s="24" t="n"/>
      <c r="L408" s="24">
        <f>IF($H408="","",ROUND($H408*$J408-N($K408),2))</f>
        <v/>
      </c>
      <c r="M408" s="31" t="n"/>
      <c r="N408" s="24">
        <f>IF(OR($L408="",$M408=""),"",ROUND($L408-$L408/(1+$M408/100),2))</f>
        <v/>
      </c>
      <c r="O408" s="9" t="n"/>
      <c r="P408" s="9" t="n"/>
      <c r="Q408" s="9" t="n"/>
      <c r="R408" s="9" t="n"/>
      <c r="S408" s="9" t="n"/>
    </row>
    <row r="409">
      <c r="A409" s="9" t="n"/>
      <c r="B409" s="9" t="n"/>
      <c r="C409" s="30" t="n"/>
      <c r="D409" s="9">
        <f>IF($C409="","",YEAR($C409)&amp;"-"&amp;TEXT(MONTH($C409),"00"))</f>
        <v/>
      </c>
      <c r="E409" s="9" t="n"/>
      <c r="F409" s="9" t="n"/>
      <c r="G409" s="9" t="n"/>
      <c r="H409" s="24" t="n"/>
      <c r="I409" s="9" t="n"/>
      <c r="J409" s="24" t="n"/>
      <c r="K409" s="24" t="n"/>
      <c r="L409" s="24">
        <f>IF($H409="","",ROUND($H409*$J409-N($K409),2))</f>
        <v/>
      </c>
      <c r="M409" s="31" t="n"/>
      <c r="N409" s="24">
        <f>IF(OR($L409="",$M409=""),"",ROUND($L409-$L409/(1+$M409/100),2))</f>
        <v/>
      </c>
      <c r="O409" s="9" t="n"/>
      <c r="P409" s="9" t="n"/>
      <c r="Q409" s="9" t="n"/>
      <c r="R409" s="9" t="n"/>
      <c r="S409" s="9" t="n"/>
    </row>
    <row r="410">
      <c r="A410" s="9" t="n"/>
      <c r="B410" s="9" t="n"/>
      <c r="C410" s="30" t="n"/>
      <c r="D410" s="9">
        <f>IF($C410="","",YEAR($C410)&amp;"-"&amp;TEXT(MONTH($C410),"00"))</f>
        <v/>
      </c>
      <c r="E410" s="9" t="n"/>
      <c r="F410" s="9" t="n"/>
      <c r="G410" s="9" t="n"/>
      <c r="H410" s="24" t="n"/>
      <c r="I410" s="9" t="n"/>
      <c r="J410" s="24" t="n"/>
      <c r="K410" s="24" t="n"/>
      <c r="L410" s="24">
        <f>IF($H410="","",ROUND($H410*$J410-N($K410),2))</f>
        <v/>
      </c>
      <c r="M410" s="31" t="n"/>
      <c r="N410" s="24">
        <f>IF(OR($L410="",$M410=""),"",ROUND($L410-$L410/(1+$M410/100),2))</f>
        <v/>
      </c>
      <c r="O410" s="9" t="n"/>
      <c r="P410" s="9" t="n"/>
      <c r="Q410" s="9" t="n"/>
      <c r="R410" s="9" t="n"/>
      <c r="S410" s="9" t="n"/>
    </row>
    <row r="411">
      <c r="A411" s="9" t="n"/>
      <c r="B411" s="9" t="n"/>
      <c r="C411" s="30" t="n"/>
      <c r="D411" s="9">
        <f>IF($C411="","",YEAR($C411)&amp;"-"&amp;TEXT(MONTH($C411),"00"))</f>
        <v/>
      </c>
      <c r="E411" s="9" t="n"/>
      <c r="F411" s="9" t="n"/>
      <c r="G411" s="9" t="n"/>
      <c r="H411" s="24" t="n"/>
      <c r="I411" s="9" t="n"/>
      <c r="J411" s="24" t="n"/>
      <c r="K411" s="24" t="n"/>
      <c r="L411" s="24">
        <f>IF($H411="","",ROUND($H411*$J411-N($K411),2))</f>
        <v/>
      </c>
      <c r="M411" s="31" t="n"/>
      <c r="N411" s="24">
        <f>IF(OR($L411="",$M411=""),"",ROUND($L411-$L411/(1+$M411/100),2))</f>
        <v/>
      </c>
      <c r="O411" s="9" t="n"/>
      <c r="P411" s="9" t="n"/>
      <c r="Q411" s="9" t="n"/>
      <c r="R411" s="9" t="n"/>
      <c r="S411" s="9" t="n"/>
    </row>
    <row r="412">
      <c r="A412" s="9" t="n"/>
      <c r="B412" s="9" t="n"/>
      <c r="C412" s="30" t="n"/>
      <c r="D412" s="9">
        <f>IF($C412="","",YEAR($C412)&amp;"-"&amp;TEXT(MONTH($C412),"00"))</f>
        <v/>
      </c>
      <c r="E412" s="9" t="n"/>
      <c r="F412" s="9" t="n"/>
      <c r="G412" s="9" t="n"/>
      <c r="H412" s="24" t="n"/>
      <c r="I412" s="9" t="n"/>
      <c r="J412" s="24" t="n"/>
      <c r="K412" s="24" t="n"/>
      <c r="L412" s="24">
        <f>IF($H412="","",ROUND($H412*$J412-N($K412),2))</f>
        <v/>
      </c>
      <c r="M412" s="31" t="n"/>
      <c r="N412" s="24">
        <f>IF(OR($L412="",$M412=""),"",ROUND($L412-$L412/(1+$M412/100),2))</f>
        <v/>
      </c>
      <c r="O412" s="9" t="n"/>
      <c r="P412" s="9" t="n"/>
      <c r="Q412" s="9" t="n"/>
      <c r="R412" s="9" t="n"/>
      <c r="S412" s="9" t="n"/>
    </row>
    <row r="413">
      <c r="A413" s="9" t="n"/>
      <c r="B413" s="9" t="n"/>
      <c r="C413" s="30" t="n"/>
      <c r="D413" s="9">
        <f>IF($C413="","",YEAR($C413)&amp;"-"&amp;TEXT(MONTH($C413),"00"))</f>
        <v/>
      </c>
      <c r="E413" s="9" t="n"/>
      <c r="F413" s="9" t="n"/>
      <c r="G413" s="9" t="n"/>
      <c r="H413" s="24" t="n"/>
      <c r="I413" s="9" t="n"/>
      <c r="J413" s="24" t="n"/>
      <c r="K413" s="24" t="n"/>
      <c r="L413" s="24">
        <f>IF($H413="","",ROUND($H413*$J413-N($K413),2))</f>
        <v/>
      </c>
      <c r="M413" s="31" t="n"/>
      <c r="N413" s="24">
        <f>IF(OR($L413="",$M413=""),"",ROUND($L413-$L413/(1+$M413/100),2))</f>
        <v/>
      </c>
      <c r="O413" s="9" t="n"/>
      <c r="P413" s="9" t="n"/>
      <c r="Q413" s="9" t="n"/>
      <c r="R413" s="9" t="n"/>
      <c r="S413" s="9" t="n"/>
    </row>
    <row r="414">
      <c r="A414" s="9" t="n"/>
      <c r="B414" s="9" t="n"/>
      <c r="C414" s="30" t="n"/>
      <c r="D414" s="9">
        <f>IF($C414="","",YEAR($C414)&amp;"-"&amp;TEXT(MONTH($C414),"00"))</f>
        <v/>
      </c>
      <c r="E414" s="9" t="n"/>
      <c r="F414" s="9" t="n"/>
      <c r="G414" s="9" t="n"/>
      <c r="H414" s="24" t="n"/>
      <c r="I414" s="9" t="n"/>
      <c r="J414" s="24" t="n"/>
      <c r="K414" s="24" t="n"/>
      <c r="L414" s="24">
        <f>IF($H414="","",ROUND($H414*$J414-N($K414),2))</f>
        <v/>
      </c>
      <c r="M414" s="31" t="n"/>
      <c r="N414" s="24">
        <f>IF(OR($L414="",$M414=""),"",ROUND($L414-$L414/(1+$M414/100),2))</f>
        <v/>
      </c>
      <c r="O414" s="9" t="n"/>
      <c r="P414" s="9" t="n"/>
      <c r="Q414" s="9" t="n"/>
      <c r="R414" s="9" t="n"/>
      <c r="S414" s="9" t="n"/>
    </row>
    <row r="415">
      <c r="A415" s="9" t="n"/>
      <c r="B415" s="9" t="n"/>
      <c r="C415" s="30" t="n"/>
      <c r="D415" s="9">
        <f>IF($C415="","",YEAR($C415)&amp;"-"&amp;TEXT(MONTH($C415),"00"))</f>
        <v/>
      </c>
      <c r="E415" s="9" t="n"/>
      <c r="F415" s="9" t="n"/>
      <c r="G415" s="9" t="n"/>
      <c r="H415" s="24" t="n"/>
      <c r="I415" s="9" t="n"/>
      <c r="J415" s="24" t="n"/>
      <c r="K415" s="24" t="n"/>
      <c r="L415" s="24">
        <f>IF($H415="","",ROUND($H415*$J415-N($K415),2))</f>
        <v/>
      </c>
      <c r="M415" s="31" t="n"/>
      <c r="N415" s="24">
        <f>IF(OR($L415="",$M415=""),"",ROUND($L415-$L415/(1+$M415/100),2))</f>
        <v/>
      </c>
      <c r="O415" s="9" t="n"/>
      <c r="P415" s="9" t="n"/>
      <c r="Q415" s="9" t="n"/>
      <c r="R415" s="9" t="n"/>
      <c r="S415" s="9" t="n"/>
    </row>
    <row r="416">
      <c r="A416" s="9" t="n"/>
      <c r="B416" s="9" t="n"/>
      <c r="C416" s="30" t="n"/>
      <c r="D416" s="9">
        <f>IF($C416="","",YEAR($C416)&amp;"-"&amp;TEXT(MONTH($C416),"00"))</f>
        <v/>
      </c>
      <c r="E416" s="9" t="n"/>
      <c r="F416" s="9" t="n"/>
      <c r="G416" s="9" t="n"/>
      <c r="H416" s="24" t="n"/>
      <c r="I416" s="9" t="n"/>
      <c r="J416" s="24" t="n"/>
      <c r="K416" s="24" t="n"/>
      <c r="L416" s="24">
        <f>IF($H416="","",ROUND($H416*$J416-N($K416),2))</f>
        <v/>
      </c>
      <c r="M416" s="31" t="n"/>
      <c r="N416" s="24">
        <f>IF(OR($L416="",$M416=""),"",ROUND($L416-$L416/(1+$M416/100),2))</f>
        <v/>
      </c>
      <c r="O416" s="9" t="n"/>
      <c r="P416" s="9" t="n"/>
      <c r="Q416" s="9" t="n"/>
      <c r="R416" s="9" t="n"/>
      <c r="S416" s="9" t="n"/>
    </row>
    <row r="417">
      <c r="A417" s="9" t="n"/>
      <c r="B417" s="9" t="n"/>
      <c r="C417" s="30" t="n"/>
      <c r="D417" s="9">
        <f>IF($C417="","",YEAR($C417)&amp;"-"&amp;TEXT(MONTH($C417),"00"))</f>
        <v/>
      </c>
      <c r="E417" s="9" t="n"/>
      <c r="F417" s="9" t="n"/>
      <c r="G417" s="9" t="n"/>
      <c r="H417" s="24" t="n"/>
      <c r="I417" s="9" t="n"/>
      <c r="J417" s="24" t="n"/>
      <c r="K417" s="24" t="n"/>
      <c r="L417" s="24">
        <f>IF($H417="","",ROUND($H417*$J417-N($K417),2))</f>
        <v/>
      </c>
      <c r="M417" s="31" t="n"/>
      <c r="N417" s="24">
        <f>IF(OR($L417="",$M417=""),"",ROUND($L417-$L417/(1+$M417/100),2))</f>
        <v/>
      </c>
      <c r="O417" s="9" t="n"/>
      <c r="P417" s="9" t="n"/>
      <c r="Q417" s="9" t="n"/>
      <c r="R417" s="9" t="n"/>
      <c r="S417" s="9" t="n"/>
    </row>
    <row r="418">
      <c r="A418" s="9" t="n"/>
      <c r="B418" s="9" t="n"/>
      <c r="C418" s="30" t="n"/>
      <c r="D418" s="9">
        <f>IF($C418="","",YEAR($C418)&amp;"-"&amp;TEXT(MONTH($C418),"00"))</f>
        <v/>
      </c>
      <c r="E418" s="9" t="n"/>
      <c r="F418" s="9" t="n"/>
      <c r="G418" s="9" t="n"/>
      <c r="H418" s="24" t="n"/>
      <c r="I418" s="9" t="n"/>
      <c r="J418" s="24" t="n"/>
      <c r="K418" s="24" t="n"/>
      <c r="L418" s="24">
        <f>IF($H418="","",ROUND($H418*$J418-N($K418),2))</f>
        <v/>
      </c>
      <c r="M418" s="31" t="n"/>
      <c r="N418" s="24">
        <f>IF(OR($L418="",$M418=""),"",ROUND($L418-$L418/(1+$M418/100),2))</f>
        <v/>
      </c>
      <c r="O418" s="9" t="n"/>
      <c r="P418" s="9" t="n"/>
      <c r="Q418" s="9" t="n"/>
      <c r="R418" s="9" t="n"/>
      <c r="S418" s="9" t="n"/>
    </row>
    <row r="419">
      <c r="A419" s="9" t="n"/>
      <c r="B419" s="9" t="n"/>
      <c r="C419" s="30" t="n"/>
      <c r="D419" s="9">
        <f>IF($C419="","",YEAR($C419)&amp;"-"&amp;TEXT(MONTH($C419),"00"))</f>
        <v/>
      </c>
      <c r="E419" s="9" t="n"/>
      <c r="F419" s="9" t="n"/>
      <c r="G419" s="9" t="n"/>
      <c r="H419" s="24" t="n"/>
      <c r="I419" s="9" t="n"/>
      <c r="J419" s="24" t="n"/>
      <c r="K419" s="24" t="n"/>
      <c r="L419" s="24">
        <f>IF($H419="","",ROUND($H419*$J419-N($K419),2))</f>
        <v/>
      </c>
      <c r="M419" s="31" t="n"/>
      <c r="N419" s="24">
        <f>IF(OR($L419="",$M419=""),"",ROUND($L419-$L419/(1+$M419/100),2))</f>
        <v/>
      </c>
      <c r="O419" s="9" t="n"/>
      <c r="P419" s="9" t="n"/>
      <c r="Q419" s="9" t="n"/>
      <c r="R419" s="9" t="n"/>
      <c r="S419" s="9" t="n"/>
    </row>
    <row r="420">
      <c r="A420" s="9" t="n"/>
      <c r="B420" s="9" t="n"/>
      <c r="C420" s="30" t="n"/>
      <c r="D420" s="9">
        <f>IF($C420="","",YEAR($C420)&amp;"-"&amp;TEXT(MONTH($C420),"00"))</f>
        <v/>
      </c>
      <c r="E420" s="9" t="n"/>
      <c r="F420" s="9" t="n"/>
      <c r="G420" s="9" t="n"/>
      <c r="H420" s="24" t="n"/>
      <c r="I420" s="9" t="n"/>
      <c r="J420" s="24" t="n"/>
      <c r="K420" s="24" t="n"/>
      <c r="L420" s="24">
        <f>IF($H420="","",ROUND($H420*$J420-N($K420),2))</f>
        <v/>
      </c>
      <c r="M420" s="31" t="n"/>
      <c r="N420" s="24">
        <f>IF(OR($L420="",$M420=""),"",ROUND($L420-$L420/(1+$M420/100),2))</f>
        <v/>
      </c>
      <c r="O420" s="9" t="n"/>
      <c r="P420" s="9" t="n"/>
      <c r="Q420" s="9" t="n"/>
      <c r="R420" s="9" t="n"/>
      <c r="S420" s="9" t="n"/>
    </row>
    <row r="421">
      <c r="A421" s="9" t="n"/>
      <c r="B421" s="9" t="n"/>
      <c r="C421" s="30" t="n"/>
      <c r="D421" s="9">
        <f>IF($C421="","",YEAR($C421)&amp;"-"&amp;TEXT(MONTH($C421),"00"))</f>
        <v/>
      </c>
      <c r="E421" s="9" t="n"/>
      <c r="F421" s="9" t="n"/>
      <c r="G421" s="9" t="n"/>
      <c r="H421" s="24" t="n"/>
      <c r="I421" s="9" t="n"/>
      <c r="J421" s="24" t="n"/>
      <c r="K421" s="24" t="n"/>
      <c r="L421" s="24">
        <f>IF($H421="","",ROUND($H421*$J421-N($K421),2))</f>
        <v/>
      </c>
      <c r="M421" s="31" t="n"/>
      <c r="N421" s="24">
        <f>IF(OR($L421="",$M421=""),"",ROUND($L421-$L421/(1+$M421/100),2))</f>
        <v/>
      </c>
      <c r="O421" s="9" t="n"/>
      <c r="P421" s="9" t="n"/>
      <c r="Q421" s="9" t="n"/>
      <c r="R421" s="9" t="n"/>
      <c r="S421" s="9" t="n"/>
    </row>
    <row r="422">
      <c r="A422" s="9" t="n"/>
      <c r="B422" s="9" t="n"/>
      <c r="C422" s="30" t="n"/>
      <c r="D422" s="9">
        <f>IF($C422="","",YEAR($C422)&amp;"-"&amp;TEXT(MONTH($C422),"00"))</f>
        <v/>
      </c>
      <c r="E422" s="9" t="n"/>
      <c r="F422" s="9" t="n"/>
      <c r="G422" s="9" t="n"/>
      <c r="H422" s="24" t="n"/>
      <c r="I422" s="9" t="n"/>
      <c r="J422" s="24" t="n"/>
      <c r="K422" s="24" t="n"/>
      <c r="L422" s="24">
        <f>IF($H422="","",ROUND($H422*$J422-N($K422),2))</f>
        <v/>
      </c>
      <c r="M422" s="31" t="n"/>
      <c r="N422" s="24">
        <f>IF(OR($L422="",$M422=""),"",ROUND($L422-$L422/(1+$M422/100),2))</f>
        <v/>
      </c>
      <c r="O422" s="9" t="n"/>
      <c r="P422" s="9" t="n"/>
      <c r="Q422" s="9" t="n"/>
      <c r="R422" s="9" t="n"/>
      <c r="S422" s="9" t="n"/>
    </row>
    <row r="423">
      <c r="A423" s="9" t="n"/>
      <c r="B423" s="9" t="n"/>
      <c r="C423" s="30" t="n"/>
      <c r="D423" s="9">
        <f>IF($C423="","",YEAR($C423)&amp;"-"&amp;TEXT(MONTH($C423),"00"))</f>
        <v/>
      </c>
      <c r="E423" s="9" t="n"/>
      <c r="F423" s="9" t="n"/>
      <c r="G423" s="9" t="n"/>
      <c r="H423" s="24" t="n"/>
      <c r="I423" s="9" t="n"/>
      <c r="J423" s="24" t="n"/>
      <c r="K423" s="24" t="n"/>
      <c r="L423" s="24">
        <f>IF($H423="","",ROUND($H423*$J423-N($K423),2))</f>
        <v/>
      </c>
      <c r="M423" s="31" t="n"/>
      <c r="N423" s="24">
        <f>IF(OR($L423="",$M423=""),"",ROUND($L423-$L423/(1+$M423/100),2))</f>
        <v/>
      </c>
      <c r="O423" s="9" t="n"/>
      <c r="P423" s="9" t="n"/>
      <c r="Q423" s="9" t="n"/>
      <c r="R423" s="9" t="n"/>
      <c r="S423" s="9" t="n"/>
    </row>
    <row r="424">
      <c r="A424" s="9" t="n"/>
      <c r="B424" s="9" t="n"/>
      <c r="C424" s="30" t="n"/>
      <c r="D424" s="9">
        <f>IF($C424="","",YEAR($C424)&amp;"-"&amp;TEXT(MONTH($C424),"00"))</f>
        <v/>
      </c>
      <c r="E424" s="9" t="n"/>
      <c r="F424" s="9" t="n"/>
      <c r="G424" s="9" t="n"/>
      <c r="H424" s="24" t="n"/>
      <c r="I424" s="9" t="n"/>
      <c r="J424" s="24" t="n"/>
      <c r="K424" s="24" t="n"/>
      <c r="L424" s="24">
        <f>IF($H424="","",ROUND($H424*$J424-N($K424),2))</f>
        <v/>
      </c>
      <c r="M424" s="31" t="n"/>
      <c r="N424" s="24">
        <f>IF(OR($L424="",$M424=""),"",ROUND($L424-$L424/(1+$M424/100),2))</f>
        <v/>
      </c>
      <c r="O424" s="9" t="n"/>
      <c r="P424" s="9" t="n"/>
      <c r="Q424" s="9" t="n"/>
      <c r="R424" s="9" t="n"/>
      <c r="S424" s="9" t="n"/>
    </row>
    <row r="425">
      <c r="A425" s="9" t="n"/>
      <c r="B425" s="9" t="n"/>
      <c r="C425" s="30" t="n"/>
      <c r="D425" s="9">
        <f>IF($C425="","",YEAR($C425)&amp;"-"&amp;TEXT(MONTH($C425),"00"))</f>
        <v/>
      </c>
      <c r="E425" s="9" t="n"/>
      <c r="F425" s="9" t="n"/>
      <c r="G425" s="9" t="n"/>
      <c r="H425" s="24" t="n"/>
      <c r="I425" s="9" t="n"/>
      <c r="J425" s="24" t="n"/>
      <c r="K425" s="24" t="n"/>
      <c r="L425" s="24">
        <f>IF($H425="","",ROUND($H425*$J425-N($K425),2))</f>
        <v/>
      </c>
      <c r="M425" s="31" t="n"/>
      <c r="N425" s="24">
        <f>IF(OR($L425="",$M425=""),"",ROUND($L425-$L425/(1+$M425/100),2))</f>
        <v/>
      </c>
      <c r="O425" s="9" t="n"/>
      <c r="P425" s="9" t="n"/>
      <c r="Q425" s="9" t="n"/>
      <c r="R425" s="9" t="n"/>
      <c r="S425" s="9" t="n"/>
    </row>
    <row r="426">
      <c r="A426" s="9" t="n"/>
      <c r="B426" s="9" t="n"/>
      <c r="C426" s="30" t="n"/>
      <c r="D426" s="9">
        <f>IF($C426="","",YEAR($C426)&amp;"-"&amp;TEXT(MONTH($C426),"00"))</f>
        <v/>
      </c>
      <c r="E426" s="9" t="n"/>
      <c r="F426" s="9" t="n"/>
      <c r="G426" s="9" t="n"/>
      <c r="H426" s="24" t="n"/>
      <c r="I426" s="9" t="n"/>
      <c r="J426" s="24" t="n"/>
      <c r="K426" s="24" t="n"/>
      <c r="L426" s="24">
        <f>IF($H426="","",ROUND($H426*$J426-N($K426),2))</f>
        <v/>
      </c>
      <c r="M426" s="31" t="n"/>
      <c r="N426" s="24">
        <f>IF(OR($L426="",$M426=""),"",ROUND($L426-$L426/(1+$M426/100),2))</f>
        <v/>
      </c>
      <c r="O426" s="9" t="n"/>
      <c r="P426" s="9" t="n"/>
      <c r="Q426" s="9" t="n"/>
      <c r="R426" s="9" t="n"/>
      <c r="S426" s="9" t="n"/>
    </row>
    <row r="427">
      <c r="A427" s="9" t="n"/>
      <c r="B427" s="9" t="n"/>
      <c r="C427" s="30" t="n"/>
      <c r="D427" s="9">
        <f>IF($C427="","",YEAR($C427)&amp;"-"&amp;TEXT(MONTH($C427),"00"))</f>
        <v/>
      </c>
      <c r="E427" s="9" t="n"/>
      <c r="F427" s="9" t="n"/>
      <c r="G427" s="9" t="n"/>
      <c r="H427" s="24" t="n"/>
      <c r="I427" s="9" t="n"/>
      <c r="J427" s="24" t="n"/>
      <c r="K427" s="24" t="n"/>
      <c r="L427" s="24">
        <f>IF($H427="","",ROUND($H427*$J427-N($K427),2))</f>
        <v/>
      </c>
      <c r="M427" s="31" t="n"/>
      <c r="N427" s="24">
        <f>IF(OR($L427="",$M427=""),"",ROUND($L427-$L427/(1+$M427/100),2))</f>
        <v/>
      </c>
      <c r="O427" s="9" t="n"/>
      <c r="P427" s="9" t="n"/>
      <c r="Q427" s="9" t="n"/>
      <c r="R427" s="9" t="n"/>
      <c r="S427" s="9" t="n"/>
    </row>
    <row r="428">
      <c r="A428" s="9" t="n"/>
      <c r="B428" s="9" t="n"/>
      <c r="C428" s="30" t="n"/>
      <c r="D428" s="9">
        <f>IF($C428="","",YEAR($C428)&amp;"-"&amp;TEXT(MONTH($C428),"00"))</f>
        <v/>
      </c>
      <c r="E428" s="9" t="n"/>
      <c r="F428" s="9" t="n"/>
      <c r="G428" s="9" t="n"/>
      <c r="H428" s="24" t="n"/>
      <c r="I428" s="9" t="n"/>
      <c r="J428" s="24" t="n"/>
      <c r="K428" s="24" t="n"/>
      <c r="L428" s="24">
        <f>IF($H428="","",ROUND($H428*$J428-N($K428),2))</f>
        <v/>
      </c>
      <c r="M428" s="31" t="n"/>
      <c r="N428" s="24">
        <f>IF(OR($L428="",$M428=""),"",ROUND($L428-$L428/(1+$M428/100),2))</f>
        <v/>
      </c>
      <c r="O428" s="9" t="n"/>
      <c r="P428" s="9" t="n"/>
      <c r="Q428" s="9" t="n"/>
      <c r="R428" s="9" t="n"/>
      <c r="S428" s="9" t="n"/>
    </row>
    <row r="429">
      <c r="A429" s="9" t="n"/>
      <c r="B429" s="9" t="n"/>
      <c r="C429" s="30" t="n"/>
      <c r="D429" s="9">
        <f>IF($C429="","",YEAR($C429)&amp;"-"&amp;TEXT(MONTH($C429),"00"))</f>
        <v/>
      </c>
      <c r="E429" s="9" t="n"/>
      <c r="F429" s="9" t="n"/>
      <c r="G429" s="9" t="n"/>
      <c r="H429" s="24" t="n"/>
      <c r="I429" s="9" t="n"/>
      <c r="J429" s="24" t="n"/>
      <c r="K429" s="24" t="n"/>
      <c r="L429" s="24">
        <f>IF($H429="","",ROUND($H429*$J429-N($K429),2))</f>
        <v/>
      </c>
      <c r="M429" s="31" t="n"/>
      <c r="N429" s="24">
        <f>IF(OR($L429="",$M429=""),"",ROUND($L429-$L429/(1+$M429/100),2))</f>
        <v/>
      </c>
      <c r="O429" s="9" t="n"/>
      <c r="P429" s="9" t="n"/>
      <c r="Q429" s="9" t="n"/>
      <c r="R429" s="9" t="n"/>
      <c r="S429" s="9" t="n"/>
    </row>
    <row r="430">
      <c r="A430" s="9" t="n"/>
      <c r="B430" s="9" t="n"/>
      <c r="C430" s="30" t="n"/>
      <c r="D430" s="9">
        <f>IF($C430="","",YEAR($C430)&amp;"-"&amp;TEXT(MONTH($C430),"00"))</f>
        <v/>
      </c>
      <c r="E430" s="9" t="n"/>
      <c r="F430" s="9" t="n"/>
      <c r="G430" s="9" t="n"/>
      <c r="H430" s="24" t="n"/>
      <c r="I430" s="9" t="n"/>
      <c r="J430" s="24" t="n"/>
      <c r="K430" s="24" t="n"/>
      <c r="L430" s="24">
        <f>IF($H430="","",ROUND($H430*$J430-N($K430),2))</f>
        <v/>
      </c>
      <c r="M430" s="31" t="n"/>
      <c r="N430" s="24">
        <f>IF(OR($L430="",$M430=""),"",ROUND($L430-$L430/(1+$M430/100),2))</f>
        <v/>
      </c>
      <c r="O430" s="9" t="n"/>
      <c r="P430" s="9" t="n"/>
      <c r="Q430" s="9" t="n"/>
      <c r="R430" s="9" t="n"/>
      <c r="S430" s="9" t="n"/>
    </row>
    <row r="431">
      <c r="A431" s="9" t="n"/>
      <c r="B431" s="9" t="n"/>
      <c r="C431" s="30" t="n"/>
      <c r="D431" s="9">
        <f>IF($C431="","",YEAR($C431)&amp;"-"&amp;TEXT(MONTH($C431),"00"))</f>
        <v/>
      </c>
      <c r="E431" s="9" t="n"/>
      <c r="F431" s="9" t="n"/>
      <c r="G431" s="9" t="n"/>
      <c r="H431" s="24" t="n"/>
      <c r="I431" s="9" t="n"/>
      <c r="J431" s="24" t="n"/>
      <c r="K431" s="24" t="n"/>
      <c r="L431" s="24">
        <f>IF($H431="","",ROUND($H431*$J431-N($K431),2))</f>
        <v/>
      </c>
      <c r="M431" s="31" t="n"/>
      <c r="N431" s="24">
        <f>IF(OR($L431="",$M431=""),"",ROUND($L431-$L431/(1+$M431/100),2))</f>
        <v/>
      </c>
      <c r="O431" s="9" t="n"/>
      <c r="P431" s="9" t="n"/>
      <c r="Q431" s="9" t="n"/>
      <c r="R431" s="9" t="n"/>
      <c r="S431" s="9" t="n"/>
    </row>
    <row r="432">
      <c r="A432" s="9" t="n"/>
      <c r="B432" s="9" t="n"/>
      <c r="C432" s="30" t="n"/>
      <c r="D432" s="9">
        <f>IF($C432="","",YEAR($C432)&amp;"-"&amp;TEXT(MONTH($C432),"00"))</f>
        <v/>
      </c>
      <c r="E432" s="9" t="n"/>
      <c r="F432" s="9" t="n"/>
      <c r="G432" s="9" t="n"/>
      <c r="H432" s="24" t="n"/>
      <c r="I432" s="9" t="n"/>
      <c r="J432" s="24" t="n"/>
      <c r="K432" s="24" t="n"/>
      <c r="L432" s="24">
        <f>IF($H432="","",ROUND($H432*$J432-N($K432),2))</f>
        <v/>
      </c>
      <c r="M432" s="31" t="n"/>
      <c r="N432" s="24">
        <f>IF(OR($L432="",$M432=""),"",ROUND($L432-$L432/(1+$M432/100),2))</f>
        <v/>
      </c>
      <c r="O432" s="9" t="n"/>
      <c r="P432" s="9" t="n"/>
      <c r="Q432" s="9" t="n"/>
      <c r="R432" s="9" t="n"/>
      <c r="S432" s="9" t="n"/>
    </row>
    <row r="433">
      <c r="A433" s="9" t="n"/>
      <c r="B433" s="9" t="n"/>
      <c r="C433" s="30" t="n"/>
      <c r="D433" s="9">
        <f>IF($C433="","",YEAR($C433)&amp;"-"&amp;TEXT(MONTH($C433),"00"))</f>
        <v/>
      </c>
      <c r="E433" s="9" t="n"/>
      <c r="F433" s="9" t="n"/>
      <c r="G433" s="9" t="n"/>
      <c r="H433" s="24" t="n"/>
      <c r="I433" s="9" t="n"/>
      <c r="J433" s="24" t="n"/>
      <c r="K433" s="24" t="n"/>
      <c r="L433" s="24">
        <f>IF($H433="","",ROUND($H433*$J433-N($K433),2))</f>
        <v/>
      </c>
      <c r="M433" s="31" t="n"/>
      <c r="N433" s="24">
        <f>IF(OR($L433="",$M433=""),"",ROUND($L433-$L433/(1+$M433/100),2))</f>
        <v/>
      </c>
      <c r="O433" s="9" t="n"/>
      <c r="P433" s="9" t="n"/>
      <c r="Q433" s="9" t="n"/>
      <c r="R433" s="9" t="n"/>
      <c r="S433" s="9" t="n"/>
    </row>
    <row r="434">
      <c r="A434" s="9" t="n"/>
      <c r="B434" s="9" t="n"/>
      <c r="C434" s="30" t="n"/>
      <c r="D434" s="9">
        <f>IF($C434="","",YEAR($C434)&amp;"-"&amp;TEXT(MONTH($C434),"00"))</f>
        <v/>
      </c>
      <c r="E434" s="9" t="n"/>
      <c r="F434" s="9" t="n"/>
      <c r="G434" s="9" t="n"/>
      <c r="H434" s="24" t="n"/>
      <c r="I434" s="9" t="n"/>
      <c r="J434" s="24" t="n"/>
      <c r="K434" s="24" t="n"/>
      <c r="L434" s="24">
        <f>IF($H434="","",ROUND($H434*$J434-N($K434),2))</f>
        <v/>
      </c>
      <c r="M434" s="31" t="n"/>
      <c r="N434" s="24">
        <f>IF(OR($L434="",$M434=""),"",ROUND($L434-$L434/(1+$M434/100),2))</f>
        <v/>
      </c>
      <c r="O434" s="9" t="n"/>
      <c r="P434" s="9" t="n"/>
      <c r="Q434" s="9" t="n"/>
      <c r="R434" s="9" t="n"/>
      <c r="S434" s="9" t="n"/>
    </row>
    <row r="435">
      <c r="A435" s="9" t="n"/>
      <c r="B435" s="9" t="n"/>
      <c r="C435" s="30" t="n"/>
      <c r="D435" s="9">
        <f>IF($C435="","",YEAR($C435)&amp;"-"&amp;TEXT(MONTH($C435),"00"))</f>
        <v/>
      </c>
      <c r="E435" s="9" t="n"/>
      <c r="F435" s="9" t="n"/>
      <c r="G435" s="9" t="n"/>
      <c r="H435" s="24" t="n"/>
      <c r="I435" s="9" t="n"/>
      <c r="J435" s="24" t="n"/>
      <c r="K435" s="24" t="n"/>
      <c r="L435" s="24">
        <f>IF($H435="","",ROUND($H435*$J435-N($K435),2))</f>
        <v/>
      </c>
      <c r="M435" s="31" t="n"/>
      <c r="N435" s="24">
        <f>IF(OR($L435="",$M435=""),"",ROUND($L435-$L435/(1+$M435/100),2))</f>
        <v/>
      </c>
      <c r="O435" s="9" t="n"/>
      <c r="P435" s="9" t="n"/>
      <c r="Q435" s="9" t="n"/>
      <c r="R435" s="9" t="n"/>
      <c r="S435" s="9" t="n"/>
    </row>
    <row r="436">
      <c r="A436" s="9" t="n"/>
      <c r="B436" s="9" t="n"/>
      <c r="C436" s="30" t="n"/>
      <c r="D436" s="9">
        <f>IF($C436="","",YEAR($C436)&amp;"-"&amp;TEXT(MONTH($C436),"00"))</f>
        <v/>
      </c>
      <c r="E436" s="9" t="n"/>
      <c r="F436" s="9" t="n"/>
      <c r="G436" s="9" t="n"/>
      <c r="H436" s="24" t="n"/>
      <c r="I436" s="9" t="n"/>
      <c r="J436" s="24" t="n"/>
      <c r="K436" s="24" t="n"/>
      <c r="L436" s="24">
        <f>IF($H436="","",ROUND($H436*$J436-N($K436),2))</f>
        <v/>
      </c>
      <c r="M436" s="31" t="n"/>
      <c r="N436" s="24">
        <f>IF(OR($L436="",$M436=""),"",ROUND($L436-$L436/(1+$M436/100),2))</f>
        <v/>
      </c>
      <c r="O436" s="9" t="n"/>
      <c r="P436" s="9" t="n"/>
      <c r="Q436" s="9" t="n"/>
      <c r="R436" s="9" t="n"/>
      <c r="S436" s="9" t="n"/>
    </row>
    <row r="437">
      <c r="A437" s="9" t="n"/>
      <c r="B437" s="9" t="n"/>
      <c r="C437" s="30" t="n"/>
      <c r="D437" s="9">
        <f>IF($C437="","",YEAR($C437)&amp;"-"&amp;TEXT(MONTH($C437),"00"))</f>
        <v/>
      </c>
      <c r="E437" s="9" t="n"/>
      <c r="F437" s="9" t="n"/>
      <c r="G437" s="9" t="n"/>
      <c r="H437" s="24" t="n"/>
      <c r="I437" s="9" t="n"/>
      <c r="J437" s="24" t="n"/>
      <c r="K437" s="24" t="n"/>
      <c r="L437" s="24">
        <f>IF($H437="","",ROUND($H437*$J437-N($K437),2))</f>
        <v/>
      </c>
      <c r="M437" s="31" t="n"/>
      <c r="N437" s="24">
        <f>IF(OR($L437="",$M437=""),"",ROUND($L437-$L437/(1+$M437/100),2))</f>
        <v/>
      </c>
      <c r="O437" s="9" t="n"/>
      <c r="P437" s="9" t="n"/>
      <c r="Q437" s="9" t="n"/>
      <c r="R437" s="9" t="n"/>
      <c r="S437" s="9" t="n"/>
    </row>
    <row r="438">
      <c r="A438" s="9" t="n"/>
      <c r="B438" s="9" t="n"/>
      <c r="C438" s="30" t="n"/>
      <c r="D438" s="9">
        <f>IF($C438="","",YEAR($C438)&amp;"-"&amp;TEXT(MONTH($C438),"00"))</f>
        <v/>
      </c>
      <c r="E438" s="9" t="n"/>
      <c r="F438" s="9" t="n"/>
      <c r="G438" s="9" t="n"/>
      <c r="H438" s="24" t="n"/>
      <c r="I438" s="9" t="n"/>
      <c r="J438" s="24" t="n"/>
      <c r="K438" s="24" t="n"/>
      <c r="L438" s="24">
        <f>IF($H438="","",ROUND($H438*$J438-N($K438),2))</f>
        <v/>
      </c>
      <c r="M438" s="31" t="n"/>
      <c r="N438" s="24">
        <f>IF(OR($L438="",$M438=""),"",ROUND($L438-$L438/(1+$M438/100),2))</f>
        <v/>
      </c>
      <c r="O438" s="9" t="n"/>
      <c r="P438" s="9" t="n"/>
      <c r="Q438" s="9" t="n"/>
      <c r="R438" s="9" t="n"/>
      <c r="S438" s="9" t="n"/>
    </row>
    <row r="439">
      <c r="A439" s="9" t="n"/>
      <c r="B439" s="9" t="n"/>
      <c r="C439" s="30" t="n"/>
      <c r="D439" s="9">
        <f>IF($C439="","",YEAR($C439)&amp;"-"&amp;TEXT(MONTH($C439),"00"))</f>
        <v/>
      </c>
      <c r="E439" s="9" t="n"/>
      <c r="F439" s="9" t="n"/>
      <c r="G439" s="9" t="n"/>
      <c r="H439" s="24" t="n"/>
      <c r="I439" s="9" t="n"/>
      <c r="J439" s="24" t="n"/>
      <c r="K439" s="24" t="n"/>
      <c r="L439" s="24">
        <f>IF($H439="","",ROUND($H439*$J439-N($K439),2))</f>
        <v/>
      </c>
      <c r="M439" s="31" t="n"/>
      <c r="N439" s="24">
        <f>IF(OR($L439="",$M439=""),"",ROUND($L439-$L439/(1+$M439/100),2))</f>
        <v/>
      </c>
      <c r="O439" s="9" t="n"/>
      <c r="P439" s="9" t="n"/>
      <c r="Q439" s="9" t="n"/>
      <c r="R439" s="9" t="n"/>
      <c r="S439" s="9" t="n"/>
    </row>
    <row r="440">
      <c r="A440" s="9" t="n"/>
      <c r="B440" s="9" t="n"/>
      <c r="C440" s="30" t="n"/>
      <c r="D440" s="9">
        <f>IF($C440="","",YEAR($C440)&amp;"-"&amp;TEXT(MONTH($C440),"00"))</f>
        <v/>
      </c>
      <c r="E440" s="9" t="n"/>
      <c r="F440" s="9" t="n"/>
      <c r="G440" s="9" t="n"/>
      <c r="H440" s="24" t="n"/>
      <c r="I440" s="9" t="n"/>
      <c r="J440" s="24" t="n"/>
      <c r="K440" s="24" t="n"/>
      <c r="L440" s="24">
        <f>IF($H440="","",ROUND($H440*$J440-N($K440),2))</f>
        <v/>
      </c>
      <c r="M440" s="31" t="n"/>
      <c r="N440" s="24">
        <f>IF(OR($L440="",$M440=""),"",ROUND($L440-$L440/(1+$M440/100),2))</f>
        <v/>
      </c>
      <c r="O440" s="9" t="n"/>
      <c r="P440" s="9" t="n"/>
      <c r="Q440" s="9" t="n"/>
      <c r="R440" s="9" t="n"/>
      <c r="S440" s="9" t="n"/>
    </row>
    <row r="441">
      <c r="A441" s="9" t="n"/>
      <c r="B441" s="9" t="n"/>
      <c r="C441" s="30" t="n"/>
      <c r="D441" s="9">
        <f>IF($C441="","",YEAR($C441)&amp;"-"&amp;TEXT(MONTH($C441),"00"))</f>
        <v/>
      </c>
      <c r="E441" s="9" t="n"/>
      <c r="F441" s="9" t="n"/>
      <c r="G441" s="9" t="n"/>
      <c r="H441" s="24" t="n"/>
      <c r="I441" s="9" t="n"/>
      <c r="J441" s="24" t="n"/>
      <c r="K441" s="24" t="n"/>
      <c r="L441" s="24">
        <f>IF($H441="","",ROUND($H441*$J441-N($K441),2))</f>
        <v/>
      </c>
      <c r="M441" s="31" t="n"/>
      <c r="N441" s="24">
        <f>IF(OR($L441="",$M441=""),"",ROUND($L441-$L441/(1+$M441/100),2))</f>
        <v/>
      </c>
      <c r="O441" s="9" t="n"/>
      <c r="P441" s="9" t="n"/>
      <c r="Q441" s="9" t="n"/>
      <c r="R441" s="9" t="n"/>
      <c r="S441" s="9" t="n"/>
    </row>
    <row r="442">
      <c r="A442" s="9" t="n"/>
      <c r="B442" s="9" t="n"/>
      <c r="C442" s="30" t="n"/>
      <c r="D442" s="9">
        <f>IF($C442="","",YEAR($C442)&amp;"-"&amp;TEXT(MONTH($C442),"00"))</f>
        <v/>
      </c>
      <c r="E442" s="9" t="n"/>
      <c r="F442" s="9" t="n"/>
      <c r="G442" s="9" t="n"/>
      <c r="H442" s="24" t="n"/>
      <c r="I442" s="9" t="n"/>
      <c r="J442" s="24" t="n"/>
      <c r="K442" s="24" t="n"/>
      <c r="L442" s="24">
        <f>IF($H442="","",ROUND($H442*$J442-N($K442),2))</f>
        <v/>
      </c>
      <c r="M442" s="31" t="n"/>
      <c r="N442" s="24">
        <f>IF(OR($L442="",$M442=""),"",ROUND($L442-$L442/(1+$M442/100),2))</f>
        <v/>
      </c>
      <c r="O442" s="9" t="n"/>
      <c r="P442" s="9" t="n"/>
      <c r="Q442" s="9" t="n"/>
      <c r="R442" s="9" t="n"/>
      <c r="S442" s="9" t="n"/>
    </row>
    <row r="443">
      <c r="A443" s="9" t="n"/>
      <c r="B443" s="9" t="n"/>
      <c r="C443" s="30" t="n"/>
      <c r="D443" s="9">
        <f>IF($C443="","",YEAR($C443)&amp;"-"&amp;TEXT(MONTH($C443),"00"))</f>
        <v/>
      </c>
      <c r="E443" s="9" t="n"/>
      <c r="F443" s="9" t="n"/>
      <c r="G443" s="9" t="n"/>
      <c r="H443" s="24" t="n"/>
      <c r="I443" s="9" t="n"/>
      <c r="J443" s="24" t="n"/>
      <c r="K443" s="24" t="n"/>
      <c r="L443" s="24">
        <f>IF($H443="","",ROUND($H443*$J443-N($K443),2))</f>
        <v/>
      </c>
      <c r="M443" s="31" t="n"/>
      <c r="N443" s="24">
        <f>IF(OR($L443="",$M443=""),"",ROUND($L443-$L443/(1+$M443/100),2))</f>
        <v/>
      </c>
      <c r="O443" s="9" t="n"/>
      <c r="P443" s="9" t="n"/>
      <c r="Q443" s="9" t="n"/>
      <c r="R443" s="9" t="n"/>
      <c r="S443" s="9" t="n"/>
    </row>
    <row r="444">
      <c r="A444" s="9" t="n"/>
      <c r="B444" s="9" t="n"/>
      <c r="C444" s="30" t="n"/>
      <c r="D444" s="9">
        <f>IF($C444="","",YEAR($C444)&amp;"-"&amp;TEXT(MONTH($C444),"00"))</f>
        <v/>
      </c>
      <c r="E444" s="9" t="n"/>
      <c r="F444" s="9" t="n"/>
      <c r="G444" s="9" t="n"/>
      <c r="H444" s="24" t="n"/>
      <c r="I444" s="9" t="n"/>
      <c r="J444" s="24" t="n"/>
      <c r="K444" s="24" t="n"/>
      <c r="L444" s="24">
        <f>IF($H444="","",ROUND($H444*$J444-N($K444),2))</f>
        <v/>
      </c>
      <c r="M444" s="31" t="n"/>
      <c r="N444" s="24">
        <f>IF(OR($L444="",$M444=""),"",ROUND($L444-$L444/(1+$M444/100),2))</f>
        <v/>
      </c>
      <c r="O444" s="9" t="n"/>
      <c r="P444" s="9" t="n"/>
      <c r="Q444" s="9" t="n"/>
      <c r="R444" s="9" t="n"/>
      <c r="S444" s="9" t="n"/>
    </row>
    <row r="445">
      <c r="A445" s="9" t="n"/>
      <c r="B445" s="9" t="n"/>
      <c r="C445" s="30" t="n"/>
      <c r="D445" s="9">
        <f>IF($C445="","",YEAR($C445)&amp;"-"&amp;TEXT(MONTH($C445),"00"))</f>
        <v/>
      </c>
      <c r="E445" s="9" t="n"/>
      <c r="F445" s="9" t="n"/>
      <c r="G445" s="9" t="n"/>
      <c r="H445" s="24" t="n"/>
      <c r="I445" s="9" t="n"/>
      <c r="J445" s="24" t="n"/>
      <c r="K445" s="24" t="n"/>
      <c r="L445" s="24">
        <f>IF($H445="","",ROUND($H445*$J445-N($K445),2))</f>
        <v/>
      </c>
      <c r="M445" s="31" t="n"/>
      <c r="N445" s="24">
        <f>IF(OR($L445="",$M445=""),"",ROUND($L445-$L445/(1+$M445/100),2))</f>
        <v/>
      </c>
      <c r="O445" s="9" t="n"/>
      <c r="P445" s="9" t="n"/>
      <c r="Q445" s="9" t="n"/>
      <c r="R445" s="9" t="n"/>
      <c r="S445" s="9" t="n"/>
    </row>
    <row r="446">
      <c r="A446" s="9" t="n"/>
      <c r="B446" s="9" t="n"/>
      <c r="C446" s="30" t="n"/>
      <c r="D446" s="9">
        <f>IF($C446="","",YEAR($C446)&amp;"-"&amp;TEXT(MONTH($C446),"00"))</f>
        <v/>
      </c>
      <c r="E446" s="9" t="n"/>
      <c r="F446" s="9" t="n"/>
      <c r="G446" s="9" t="n"/>
      <c r="H446" s="24" t="n"/>
      <c r="I446" s="9" t="n"/>
      <c r="J446" s="24" t="n"/>
      <c r="K446" s="24" t="n"/>
      <c r="L446" s="24">
        <f>IF($H446="","",ROUND($H446*$J446-N($K446),2))</f>
        <v/>
      </c>
      <c r="M446" s="31" t="n"/>
      <c r="N446" s="24">
        <f>IF(OR($L446="",$M446=""),"",ROUND($L446-$L446/(1+$M446/100),2))</f>
        <v/>
      </c>
      <c r="O446" s="9" t="n"/>
      <c r="P446" s="9" t="n"/>
      <c r="Q446" s="9" t="n"/>
      <c r="R446" s="9" t="n"/>
      <c r="S446" s="9" t="n"/>
    </row>
    <row r="447">
      <c r="A447" s="9" t="n"/>
      <c r="B447" s="9" t="n"/>
      <c r="C447" s="30" t="n"/>
      <c r="D447" s="9">
        <f>IF($C447="","",YEAR($C447)&amp;"-"&amp;TEXT(MONTH($C447),"00"))</f>
        <v/>
      </c>
      <c r="E447" s="9" t="n"/>
      <c r="F447" s="9" t="n"/>
      <c r="G447" s="9" t="n"/>
      <c r="H447" s="24" t="n"/>
      <c r="I447" s="9" t="n"/>
      <c r="J447" s="24" t="n"/>
      <c r="K447" s="24" t="n"/>
      <c r="L447" s="24">
        <f>IF($H447="","",ROUND($H447*$J447-N($K447),2))</f>
        <v/>
      </c>
      <c r="M447" s="31" t="n"/>
      <c r="N447" s="24">
        <f>IF(OR($L447="",$M447=""),"",ROUND($L447-$L447/(1+$M447/100),2))</f>
        <v/>
      </c>
      <c r="O447" s="9" t="n"/>
      <c r="P447" s="9" t="n"/>
      <c r="Q447" s="9" t="n"/>
      <c r="R447" s="9" t="n"/>
      <c r="S447" s="9" t="n"/>
    </row>
    <row r="448">
      <c r="A448" s="9" t="n"/>
      <c r="B448" s="9" t="n"/>
      <c r="C448" s="30" t="n"/>
      <c r="D448" s="9">
        <f>IF($C448="","",YEAR($C448)&amp;"-"&amp;TEXT(MONTH($C448),"00"))</f>
        <v/>
      </c>
      <c r="E448" s="9" t="n"/>
      <c r="F448" s="9" t="n"/>
      <c r="G448" s="9" t="n"/>
      <c r="H448" s="24" t="n"/>
      <c r="I448" s="9" t="n"/>
      <c r="J448" s="24" t="n"/>
      <c r="K448" s="24" t="n"/>
      <c r="L448" s="24">
        <f>IF($H448="","",ROUND($H448*$J448-N($K448),2))</f>
        <v/>
      </c>
      <c r="M448" s="31" t="n"/>
      <c r="N448" s="24">
        <f>IF(OR($L448="",$M448=""),"",ROUND($L448-$L448/(1+$M448/100),2))</f>
        <v/>
      </c>
      <c r="O448" s="9" t="n"/>
      <c r="P448" s="9" t="n"/>
      <c r="Q448" s="9" t="n"/>
      <c r="R448" s="9" t="n"/>
      <c r="S448" s="9" t="n"/>
    </row>
    <row r="449">
      <c r="A449" s="9" t="n"/>
      <c r="B449" s="9" t="n"/>
      <c r="C449" s="30" t="n"/>
      <c r="D449" s="9">
        <f>IF($C449="","",YEAR($C449)&amp;"-"&amp;TEXT(MONTH($C449),"00"))</f>
        <v/>
      </c>
      <c r="E449" s="9" t="n"/>
      <c r="F449" s="9" t="n"/>
      <c r="G449" s="9" t="n"/>
      <c r="H449" s="24" t="n"/>
      <c r="I449" s="9" t="n"/>
      <c r="J449" s="24" t="n"/>
      <c r="K449" s="24" t="n"/>
      <c r="L449" s="24">
        <f>IF($H449="","",ROUND($H449*$J449-N($K449),2))</f>
        <v/>
      </c>
      <c r="M449" s="31" t="n"/>
      <c r="N449" s="24">
        <f>IF(OR($L449="",$M449=""),"",ROUND($L449-$L449/(1+$M449/100),2))</f>
        <v/>
      </c>
      <c r="O449" s="9" t="n"/>
      <c r="P449" s="9" t="n"/>
      <c r="Q449" s="9" t="n"/>
      <c r="R449" s="9" t="n"/>
      <c r="S449" s="9" t="n"/>
    </row>
    <row r="450">
      <c r="A450" s="9" t="n"/>
      <c r="B450" s="9" t="n"/>
      <c r="C450" s="30" t="n"/>
      <c r="D450" s="9">
        <f>IF($C450="","",YEAR($C450)&amp;"-"&amp;TEXT(MONTH($C450),"00"))</f>
        <v/>
      </c>
      <c r="E450" s="9" t="n"/>
      <c r="F450" s="9" t="n"/>
      <c r="G450" s="9" t="n"/>
      <c r="H450" s="24" t="n"/>
      <c r="I450" s="9" t="n"/>
      <c r="J450" s="24" t="n"/>
      <c r="K450" s="24" t="n"/>
      <c r="L450" s="24">
        <f>IF($H450="","",ROUND($H450*$J450-N($K450),2))</f>
        <v/>
      </c>
      <c r="M450" s="31" t="n"/>
      <c r="N450" s="24">
        <f>IF(OR($L450="",$M450=""),"",ROUND($L450-$L450/(1+$M450/100),2))</f>
        <v/>
      </c>
      <c r="O450" s="9" t="n"/>
      <c r="P450" s="9" t="n"/>
      <c r="Q450" s="9" t="n"/>
      <c r="R450" s="9" t="n"/>
      <c r="S450" s="9" t="n"/>
    </row>
    <row r="451">
      <c r="A451" s="9" t="n"/>
      <c r="B451" s="9" t="n"/>
      <c r="C451" s="30" t="n"/>
      <c r="D451" s="9">
        <f>IF($C451="","",YEAR($C451)&amp;"-"&amp;TEXT(MONTH($C451),"00"))</f>
        <v/>
      </c>
      <c r="E451" s="9" t="n"/>
      <c r="F451" s="9" t="n"/>
      <c r="G451" s="9" t="n"/>
      <c r="H451" s="24" t="n"/>
      <c r="I451" s="9" t="n"/>
      <c r="J451" s="24" t="n"/>
      <c r="K451" s="24" t="n"/>
      <c r="L451" s="24">
        <f>IF($H451="","",ROUND($H451*$J451-N($K451),2))</f>
        <v/>
      </c>
      <c r="M451" s="31" t="n"/>
      <c r="N451" s="24">
        <f>IF(OR($L451="",$M451=""),"",ROUND($L451-$L451/(1+$M451/100),2))</f>
        <v/>
      </c>
      <c r="O451" s="9" t="n"/>
      <c r="P451" s="9" t="n"/>
      <c r="Q451" s="9" t="n"/>
      <c r="R451" s="9" t="n"/>
      <c r="S451" s="9" t="n"/>
    </row>
    <row r="452">
      <c r="A452" s="9" t="n"/>
      <c r="B452" s="9" t="n"/>
      <c r="C452" s="30" t="n"/>
      <c r="D452" s="9">
        <f>IF($C452="","",YEAR($C452)&amp;"-"&amp;TEXT(MONTH($C452),"00"))</f>
        <v/>
      </c>
      <c r="E452" s="9" t="n"/>
      <c r="F452" s="9" t="n"/>
      <c r="G452" s="9" t="n"/>
      <c r="H452" s="24" t="n"/>
      <c r="I452" s="9" t="n"/>
      <c r="J452" s="24" t="n"/>
      <c r="K452" s="24" t="n"/>
      <c r="L452" s="24">
        <f>IF($H452="","",ROUND($H452*$J452-N($K452),2))</f>
        <v/>
      </c>
      <c r="M452" s="31" t="n"/>
      <c r="N452" s="24">
        <f>IF(OR($L452="",$M452=""),"",ROUND($L452-$L452/(1+$M452/100),2))</f>
        <v/>
      </c>
      <c r="O452" s="9" t="n"/>
      <c r="P452" s="9" t="n"/>
      <c r="Q452" s="9" t="n"/>
      <c r="R452" s="9" t="n"/>
      <c r="S452" s="9" t="n"/>
    </row>
    <row r="453">
      <c r="A453" s="9" t="n"/>
      <c r="B453" s="9" t="n"/>
      <c r="C453" s="30" t="n"/>
      <c r="D453" s="9">
        <f>IF($C453="","",YEAR($C453)&amp;"-"&amp;TEXT(MONTH($C453),"00"))</f>
        <v/>
      </c>
      <c r="E453" s="9" t="n"/>
      <c r="F453" s="9" t="n"/>
      <c r="G453" s="9" t="n"/>
      <c r="H453" s="24" t="n"/>
      <c r="I453" s="9" t="n"/>
      <c r="J453" s="24" t="n"/>
      <c r="K453" s="24" t="n"/>
      <c r="L453" s="24">
        <f>IF($H453="","",ROUND($H453*$J453-N($K453),2))</f>
        <v/>
      </c>
      <c r="M453" s="31" t="n"/>
      <c r="N453" s="24">
        <f>IF(OR($L453="",$M453=""),"",ROUND($L453-$L453/(1+$M453/100),2))</f>
        <v/>
      </c>
      <c r="O453" s="9" t="n"/>
      <c r="P453" s="9" t="n"/>
      <c r="Q453" s="9" t="n"/>
      <c r="R453" s="9" t="n"/>
      <c r="S453" s="9" t="n"/>
    </row>
    <row r="454">
      <c r="A454" s="9" t="n"/>
      <c r="B454" s="9" t="n"/>
      <c r="C454" s="30" t="n"/>
      <c r="D454" s="9">
        <f>IF($C454="","",YEAR($C454)&amp;"-"&amp;TEXT(MONTH($C454),"00"))</f>
        <v/>
      </c>
      <c r="E454" s="9" t="n"/>
      <c r="F454" s="9" t="n"/>
      <c r="G454" s="9" t="n"/>
      <c r="H454" s="24" t="n"/>
      <c r="I454" s="9" t="n"/>
      <c r="J454" s="24" t="n"/>
      <c r="K454" s="24" t="n"/>
      <c r="L454" s="24">
        <f>IF($H454="","",ROUND($H454*$J454-N($K454),2))</f>
        <v/>
      </c>
      <c r="M454" s="31" t="n"/>
      <c r="N454" s="24">
        <f>IF(OR($L454="",$M454=""),"",ROUND($L454-$L454/(1+$M454/100),2))</f>
        <v/>
      </c>
      <c r="O454" s="9" t="n"/>
      <c r="P454" s="9" t="n"/>
      <c r="Q454" s="9" t="n"/>
      <c r="R454" s="9" t="n"/>
      <c r="S454" s="9" t="n"/>
    </row>
    <row r="455">
      <c r="A455" s="9" t="n"/>
      <c r="B455" s="9" t="n"/>
      <c r="C455" s="30" t="n"/>
      <c r="D455" s="9">
        <f>IF($C455="","",YEAR($C455)&amp;"-"&amp;TEXT(MONTH($C455),"00"))</f>
        <v/>
      </c>
      <c r="E455" s="9" t="n"/>
      <c r="F455" s="9" t="n"/>
      <c r="G455" s="9" t="n"/>
      <c r="H455" s="24" t="n"/>
      <c r="I455" s="9" t="n"/>
      <c r="J455" s="24" t="n"/>
      <c r="K455" s="24" t="n"/>
      <c r="L455" s="24">
        <f>IF($H455="","",ROUND($H455*$J455-N($K455),2))</f>
        <v/>
      </c>
      <c r="M455" s="31" t="n"/>
      <c r="N455" s="24">
        <f>IF(OR($L455="",$M455=""),"",ROUND($L455-$L455/(1+$M455/100),2))</f>
        <v/>
      </c>
      <c r="O455" s="9" t="n"/>
      <c r="P455" s="9" t="n"/>
      <c r="Q455" s="9" t="n"/>
      <c r="R455" s="9" t="n"/>
      <c r="S455" s="9" t="n"/>
    </row>
    <row r="456">
      <c r="A456" s="9" t="n"/>
      <c r="B456" s="9" t="n"/>
      <c r="C456" s="30" t="n"/>
      <c r="D456" s="9">
        <f>IF($C456="","",YEAR($C456)&amp;"-"&amp;TEXT(MONTH($C456),"00"))</f>
        <v/>
      </c>
      <c r="E456" s="9" t="n"/>
      <c r="F456" s="9" t="n"/>
      <c r="G456" s="9" t="n"/>
      <c r="H456" s="24" t="n"/>
      <c r="I456" s="9" t="n"/>
      <c r="J456" s="24" t="n"/>
      <c r="K456" s="24" t="n"/>
      <c r="L456" s="24">
        <f>IF($H456="","",ROUND($H456*$J456-N($K456),2))</f>
        <v/>
      </c>
      <c r="M456" s="31" t="n"/>
      <c r="N456" s="24">
        <f>IF(OR($L456="",$M456=""),"",ROUND($L456-$L456/(1+$M456/100),2))</f>
        <v/>
      </c>
      <c r="O456" s="9" t="n"/>
      <c r="P456" s="9" t="n"/>
      <c r="Q456" s="9" t="n"/>
      <c r="R456" s="9" t="n"/>
      <c r="S456" s="9" t="n"/>
    </row>
    <row r="457">
      <c r="A457" s="9" t="n"/>
      <c r="B457" s="9" t="n"/>
      <c r="C457" s="30" t="n"/>
      <c r="D457" s="9">
        <f>IF($C457="","",YEAR($C457)&amp;"-"&amp;TEXT(MONTH($C457),"00"))</f>
        <v/>
      </c>
      <c r="E457" s="9" t="n"/>
      <c r="F457" s="9" t="n"/>
      <c r="G457" s="9" t="n"/>
      <c r="H457" s="24" t="n"/>
      <c r="I457" s="9" t="n"/>
      <c r="J457" s="24" t="n"/>
      <c r="K457" s="24" t="n"/>
      <c r="L457" s="24">
        <f>IF($H457="","",ROUND($H457*$J457-N($K457),2))</f>
        <v/>
      </c>
      <c r="M457" s="31" t="n"/>
      <c r="N457" s="24">
        <f>IF(OR($L457="",$M457=""),"",ROUND($L457-$L457/(1+$M457/100),2))</f>
        <v/>
      </c>
      <c r="O457" s="9" t="n"/>
      <c r="P457" s="9" t="n"/>
      <c r="Q457" s="9" t="n"/>
      <c r="R457" s="9" t="n"/>
      <c r="S457" s="9" t="n"/>
    </row>
    <row r="458">
      <c r="A458" s="9" t="n"/>
      <c r="B458" s="9" t="n"/>
      <c r="C458" s="30" t="n"/>
      <c r="D458" s="9">
        <f>IF($C458="","",YEAR($C458)&amp;"-"&amp;TEXT(MONTH($C458),"00"))</f>
        <v/>
      </c>
      <c r="E458" s="9" t="n"/>
      <c r="F458" s="9" t="n"/>
      <c r="G458" s="9" t="n"/>
      <c r="H458" s="24" t="n"/>
      <c r="I458" s="9" t="n"/>
      <c r="J458" s="24" t="n"/>
      <c r="K458" s="24" t="n"/>
      <c r="L458" s="24">
        <f>IF($H458="","",ROUND($H458*$J458-N($K458),2))</f>
        <v/>
      </c>
      <c r="M458" s="31" t="n"/>
      <c r="N458" s="24">
        <f>IF(OR($L458="",$M458=""),"",ROUND($L458-$L458/(1+$M458/100),2))</f>
        <v/>
      </c>
      <c r="O458" s="9" t="n"/>
      <c r="P458" s="9" t="n"/>
      <c r="Q458" s="9" t="n"/>
      <c r="R458" s="9" t="n"/>
      <c r="S458" s="9" t="n"/>
    </row>
    <row r="459">
      <c r="A459" s="9" t="n"/>
      <c r="B459" s="9" t="n"/>
      <c r="C459" s="30" t="n"/>
      <c r="D459" s="9">
        <f>IF($C459="","",YEAR($C459)&amp;"-"&amp;TEXT(MONTH($C459),"00"))</f>
        <v/>
      </c>
      <c r="E459" s="9" t="n"/>
      <c r="F459" s="9" t="n"/>
      <c r="G459" s="9" t="n"/>
      <c r="H459" s="24" t="n"/>
      <c r="I459" s="9" t="n"/>
      <c r="J459" s="24" t="n"/>
      <c r="K459" s="24" t="n"/>
      <c r="L459" s="24">
        <f>IF($H459="","",ROUND($H459*$J459-N($K459),2))</f>
        <v/>
      </c>
      <c r="M459" s="31" t="n"/>
      <c r="N459" s="24">
        <f>IF(OR($L459="",$M459=""),"",ROUND($L459-$L459/(1+$M459/100),2))</f>
        <v/>
      </c>
      <c r="O459" s="9" t="n"/>
      <c r="P459" s="9" t="n"/>
      <c r="Q459" s="9" t="n"/>
      <c r="R459" s="9" t="n"/>
      <c r="S459" s="9" t="n"/>
    </row>
    <row r="460">
      <c r="A460" s="9" t="n"/>
      <c r="B460" s="9" t="n"/>
      <c r="C460" s="30" t="n"/>
      <c r="D460" s="9">
        <f>IF($C460="","",YEAR($C460)&amp;"-"&amp;TEXT(MONTH($C460),"00"))</f>
        <v/>
      </c>
      <c r="E460" s="9" t="n"/>
      <c r="F460" s="9" t="n"/>
      <c r="G460" s="9" t="n"/>
      <c r="H460" s="24" t="n"/>
      <c r="I460" s="9" t="n"/>
      <c r="J460" s="24" t="n"/>
      <c r="K460" s="24" t="n"/>
      <c r="L460" s="24">
        <f>IF($H460="","",ROUND($H460*$J460-N($K460),2))</f>
        <v/>
      </c>
      <c r="M460" s="31" t="n"/>
      <c r="N460" s="24">
        <f>IF(OR($L460="",$M460=""),"",ROUND($L460-$L460/(1+$M460/100),2))</f>
        <v/>
      </c>
      <c r="O460" s="9" t="n"/>
      <c r="P460" s="9" t="n"/>
      <c r="Q460" s="9" t="n"/>
      <c r="R460" s="9" t="n"/>
      <c r="S460" s="9" t="n"/>
    </row>
    <row r="461">
      <c r="A461" s="9" t="n"/>
      <c r="B461" s="9" t="n"/>
      <c r="C461" s="30" t="n"/>
      <c r="D461" s="9">
        <f>IF($C461="","",YEAR($C461)&amp;"-"&amp;TEXT(MONTH($C461),"00"))</f>
        <v/>
      </c>
      <c r="E461" s="9" t="n"/>
      <c r="F461" s="9" t="n"/>
      <c r="G461" s="9" t="n"/>
      <c r="H461" s="24" t="n"/>
      <c r="I461" s="9" t="n"/>
      <c r="J461" s="24" t="n"/>
      <c r="K461" s="24" t="n"/>
      <c r="L461" s="24">
        <f>IF($H461="","",ROUND($H461*$J461-N($K461),2))</f>
        <v/>
      </c>
      <c r="M461" s="31" t="n"/>
      <c r="N461" s="24">
        <f>IF(OR($L461="",$M461=""),"",ROUND($L461-$L461/(1+$M461/100),2))</f>
        <v/>
      </c>
      <c r="O461" s="9" t="n"/>
      <c r="P461" s="9" t="n"/>
      <c r="Q461" s="9" t="n"/>
      <c r="R461" s="9" t="n"/>
      <c r="S461" s="9" t="n"/>
    </row>
    <row r="462">
      <c r="A462" s="9" t="n"/>
      <c r="B462" s="9" t="n"/>
      <c r="C462" s="30" t="n"/>
      <c r="D462" s="9">
        <f>IF($C462="","",YEAR($C462)&amp;"-"&amp;TEXT(MONTH($C462),"00"))</f>
        <v/>
      </c>
      <c r="E462" s="9" t="n"/>
      <c r="F462" s="9" t="n"/>
      <c r="G462" s="9" t="n"/>
      <c r="H462" s="24" t="n"/>
      <c r="I462" s="9" t="n"/>
      <c r="J462" s="24" t="n"/>
      <c r="K462" s="24" t="n"/>
      <c r="L462" s="24">
        <f>IF($H462="","",ROUND($H462*$J462-N($K462),2))</f>
        <v/>
      </c>
      <c r="M462" s="31" t="n"/>
      <c r="N462" s="24">
        <f>IF(OR($L462="",$M462=""),"",ROUND($L462-$L462/(1+$M462/100),2))</f>
        <v/>
      </c>
      <c r="O462" s="9" t="n"/>
      <c r="P462" s="9" t="n"/>
      <c r="Q462" s="9" t="n"/>
      <c r="R462" s="9" t="n"/>
      <c r="S462" s="9" t="n"/>
    </row>
    <row r="463">
      <c r="A463" s="9" t="n"/>
      <c r="B463" s="9" t="n"/>
      <c r="C463" s="30" t="n"/>
      <c r="D463" s="9">
        <f>IF($C463="","",YEAR($C463)&amp;"-"&amp;TEXT(MONTH($C463),"00"))</f>
        <v/>
      </c>
      <c r="E463" s="9" t="n"/>
      <c r="F463" s="9" t="n"/>
      <c r="G463" s="9" t="n"/>
      <c r="H463" s="24" t="n"/>
      <c r="I463" s="9" t="n"/>
      <c r="J463" s="24" t="n"/>
      <c r="K463" s="24" t="n"/>
      <c r="L463" s="24">
        <f>IF($H463="","",ROUND($H463*$J463-N($K463),2))</f>
        <v/>
      </c>
      <c r="M463" s="31" t="n"/>
      <c r="N463" s="24">
        <f>IF(OR($L463="",$M463=""),"",ROUND($L463-$L463/(1+$M463/100),2))</f>
        <v/>
      </c>
      <c r="O463" s="9" t="n"/>
      <c r="P463" s="9" t="n"/>
      <c r="Q463" s="9" t="n"/>
      <c r="R463" s="9" t="n"/>
      <c r="S463" s="9" t="n"/>
    </row>
    <row r="464">
      <c r="A464" s="9" t="n"/>
      <c r="B464" s="9" t="n"/>
      <c r="C464" s="30" t="n"/>
      <c r="D464" s="9">
        <f>IF($C464="","",YEAR($C464)&amp;"-"&amp;TEXT(MONTH($C464),"00"))</f>
        <v/>
      </c>
      <c r="E464" s="9" t="n"/>
      <c r="F464" s="9" t="n"/>
      <c r="G464" s="9" t="n"/>
      <c r="H464" s="24" t="n"/>
      <c r="I464" s="9" t="n"/>
      <c r="J464" s="24" t="n"/>
      <c r="K464" s="24" t="n"/>
      <c r="L464" s="24">
        <f>IF($H464="","",ROUND($H464*$J464-N($K464),2))</f>
        <v/>
      </c>
      <c r="M464" s="31" t="n"/>
      <c r="N464" s="24">
        <f>IF(OR($L464="",$M464=""),"",ROUND($L464-$L464/(1+$M464/100),2))</f>
        <v/>
      </c>
      <c r="O464" s="9" t="n"/>
      <c r="P464" s="9" t="n"/>
      <c r="Q464" s="9" t="n"/>
      <c r="R464" s="9" t="n"/>
      <c r="S464" s="9" t="n"/>
    </row>
    <row r="465">
      <c r="A465" s="9" t="n"/>
      <c r="B465" s="9" t="n"/>
      <c r="C465" s="30" t="n"/>
      <c r="D465" s="9">
        <f>IF($C465="","",YEAR($C465)&amp;"-"&amp;TEXT(MONTH($C465),"00"))</f>
        <v/>
      </c>
      <c r="E465" s="9" t="n"/>
      <c r="F465" s="9" t="n"/>
      <c r="G465" s="9" t="n"/>
      <c r="H465" s="24" t="n"/>
      <c r="I465" s="9" t="n"/>
      <c r="J465" s="24" t="n"/>
      <c r="K465" s="24" t="n"/>
      <c r="L465" s="24">
        <f>IF($H465="","",ROUND($H465*$J465-N($K465),2))</f>
        <v/>
      </c>
      <c r="M465" s="31" t="n"/>
      <c r="N465" s="24">
        <f>IF(OR($L465="",$M465=""),"",ROUND($L465-$L465/(1+$M465/100),2))</f>
        <v/>
      </c>
      <c r="O465" s="9" t="n"/>
      <c r="P465" s="9" t="n"/>
      <c r="Q465" s="9" t="n"/>
      <c r="R465" s="9" t="n"/>
      <c r="S465" s="9" t="n"/>
    </row>
    <row r="466">
      <c r="A466" s="9" t="n"/>
      <c r="B466" s="9" t="n"/>
      <c r="C466" s="30" t="n"/>
      <c r="D466" s="9">
        <f>IF($C466="","",YEAR($C466)&amp;"-"&amp;TEXT(MONTH($C466),"00"))</f>
        <v/>
      </c>
      <c r="E466" s="9" t="n"/>
      <c r="F466" s="9" t="n"/>
      <c r="G466" s="9" t="n"/>
      <c r="H466" s="24" t="n"/>
      <c r="I466" s="9" t="n"/>
      <c r="J466" s="24" t="n"/>
      <c r="K466" s="24" t="n"/>
      <c r="L466" s="24">
        <f>IF($H466="","",ROUND($H466*$J466-N($K466),2))</f>
        <v/>
      </c>
      <c r="M466" s="31" t="n"/>
      <c r="N466" s="24">
        <f>IF(OR($L466="",$M466=""),"",ROUND($L466-$L466/(1+$M466/100),2))</f>
        <v/>
      </c>
      <c r="O466" s="9" t="n"/>
      <c r="P466" s="9" t="n"/>
      <c r="Q466" s="9" t="n"/>
      <c r="R466" s="9" t="n"/>
      <c r="S466" s="9" t="n"/>
    </row>
    <row r="467">
      <c r="A467" s="9" t="n"/>
      <c r="B467" s="9" t="n"/>
      <c r="C467" s="30" t="n"/>
      <c r="D467" s="9">
        <f>IF($C467="","",YEAR($C467)&amp;"-"&amp;TEXT(MONTH($C467),"00"))</f>
        <v/>
      </c>
      <c r="E467" s="9" t="n"/>
      <c r="F467" s="9" t="n"/>
      <c r="G467" s="9" t="n"/>
      <c r="H467" s="24" t="n"/>
      <c r="I467" s="9" t="n"/>
      <c r="J467" s="24" t="n"/>
      <c r="K467" s="24" t="n"/>
      <c r="L467" s="24">
        <f>IF($H467="","",ROUND($H467*$J467-N($K467),2))</f>
        <v/>
      </c>
      <c r="M467" s="31" t="n"/>
      <c r="N467" s="24">
        <f>IF(OR($L467="",$M467=""),"",ROUND($L467-$L467/(1+$M467/100),2))</f>
        <v/>
      </c>
      <c r="O467" s="9" t="n"/>
      <c r="P467" s="9" t="n"/>
      <c r="Q467" s="9" t="n"/>
      <c r="R467" s="9" t="n"/>
      <c r="S467" s="9" t="n"/>
    </row>
    <row r="468">
      <c r="A468" s="9" t="n"/>
      <c r="B468" s="9" t="n"/>
      <c r="C468" s="30" t="n"/>
      <c r="D468" s="9">
        <f>IF($C468="","",YEAR($C468)&amp;"-"&amp;TEXT(MONTH($C468),"00"))</f>
        <v/>
      </c>
      <c r="E468" s="9" t="n"/>
      <c r="F468" s="9" t="n"/>
      <c r="G468" s="9" t="n"/>
      <c r="H468" s="24" t="n"/>
      <c r="I468" s="9" t="n"/>
      <c r="J468" s="24" t="n"/>
      <c r="K468" s="24" t="n"/>
      <c r="L468" s="24">
        <f>IF($H468="","",ROUND($H468*$J468-N($K468),2))</f>
        <v/>
      </c>
      <c r="M468" s="31" t="n"/>
      <c r="N468" s="24">
        <f>IF(OR($L468="",$M468=""),"",ROUND($L468-$L468/(1+$M468/100),2))</f>
        <v/>
      </c>
      <c r="O468" s="9" t="n"/>
      <c r="P468" s="9" t="n"/>
      <c r="Q468" s="9" t="n"/>
      <c r="R468" s="9" t="n"/>
      <c r="S468" s="9" t="n"/>
    </row>
    <row r="469">
      <c r="A469" s="9" t="n"/>
      <c r="B469" s="9" t="n"/>
      <c r="C469" s="30" t="n"/>
      <c r="D469" s="9">
        <f>IF($C469="","",YEAR($C469)&amp;"-"&amp;TEXT(MONTH($C469),"00"))</f>
        <v/>
      </c>
      <c r="E469" s="9" t="n"/>
      <c r="F469" s="9" t="n"/>
      <c r="G469" s="9" t="n"/>
      <c r="H469" s="24" t="n"/>
      <c r="I469" s="9" t="n"/>
      <c r="J469" s="24" t="n"/>
      <c r="K469" s="24" t="n"/>
      <c r="L469" s="24">
        <f>IF($H469="","",ROUND($H469*$J469-N($K469),2))</f>
        <v/>
      </c>
      <c r="M469" s="31" t="n"/>
      <c r="N469" s="24">
        <f>IF(OR($L469="",$M469=""),"",ROUND($L469-$L469/(1+$M469/100),2))</f>
        <v/>
      </c>
      <c r="O469" s="9" t="n"/>
      <c r="P469" s="9" t="n"/>
      <c r="Q469" s="9" t="n"/>
      <c r="R469" s="9" t="n"/>
      <c r="S469" s="9" t="n"/>
    </row>
    <row r="470">
      <c r="A470" s="9" t="n"/>
      <c r="B470" s="9" t="n"/>
      <c r="C470" s="30" t="n"/>
      <c r="D470" s="9">
        <f>IF($C470="","",YEAR($C470)&amp;"-"&amp;TEXT(MONTH($C470),"00"))</f>
        <v/>
      </c>
      <c r="E470" s="9" t="n"/>
      <c r="F470" s="9" t="n"/>
      <c r="G470" s="9" t="n"/>
      <c r="H470" s="24" t="n"/>
      <c r="I470" s="9" t="n"/>
      <c r="J470" s="24" t="n"/>
      <c r="K470" s="24" t="n"/>
      <c r="L470" s="24">
        <f>IF($H470="","",ROUND($H470*$J470-N($K470),2))</f>
        <v/>
      </c>
      <c r="M470" s="31" t="n"/>
      <c r="N470" s="24">
        <f>IF(OR($L470="",$M470=""),"",ROUND($L470-$L470/(1+$M470/100),2))</f>
        <v/>
      </c>
      <c r="O470" s="9" t="n"/>
      <c r="P470" s="9" t="n"/>
      <c r="Q470" s="9" t="n"/>
      <c r="R470" s="9" t="n"/>
      <c r="S470" s="9" t="n"/>
    </row>
    <row r="471">
      <c r="A471" s="9" t="n"/>
      <c r="B471" s="9" t="n"/>
      <c r="C471" s="30" t="n"/>
      <c r="D471" s="9">
        <f>IF($C471="","",YEAR($C471)&amp;"-"&amp;TEXT(MONTH($C471),"00"))</f>
        <v/>
      </c>
      <c r="E471" s="9" t="n"/>
      <c r="F471" s="9" t="n"/>
      <c r="G471" s="9" t="n"/>
      <c r="H471" s="24" t="n"/>
      <c r="I471" s="9" t="n"/>
      <c r="J471" s="24" t="n"/>
      <c r="K471" s="24" t="n"/>
      <c r="L471" s="24">
        <f>IF($H471="","",ROUND($H471*$J471-N($K471),2))</f>
        <v/>
      </c>
      <c r="M471" s="31" t="n"/>
      <c r="N471" s="24">
        <f>IF(OR($L471="",$M471=""),"",ROUND($L471-$L471/(1+$M471/100),2))</f>
        <v/>
      </c>
      <c r="O471" s="9" t="n"/>
      <c r="P471" s="9" t="n"/>
      <c r="Q471" s="9" t="n"/>
      <c r="R471" s="9" t="n"/>
      <c r="S471" s="9" t="n"/>
    </row>
    <row r="472">
      <c r="A472" s="9" t="n"/>
      <c r="B472" s="9" t="n"/>
      <c r="C472" s="30" t="n"/>
      <c r="D472" s="9">
        <f>IF($C472="","",YEAR($C472)&amp;"-"&amp;TEXT(MONTH($C472),"00"))</f>
        <v/>
      </c>
      <c r="E472" s="9" t="n"/>
      <c r="F472" s="9" t="n"/>
      <c r="G472" s="9" t="n"/>
      <c r="H472" s="24" t="n"/>
      <c r="I472" s="9" t="n"/>
      <c r="J472" s="24" t="n"/>
      <c r="K472" s="24" t="n"/>
      <c r="L472" s="24">
        <f>IF($H472="","",ROUND($H472*$J472-N($K472),2))</f>
        <v/>
      </c>
      <c r="M472" s="31" t="n"/>
      <c r="N472" s="24">
        <f>IF(OR($L472="",$M472=""),"",ROUND($L472-$L472/(1+$M472/100),2))</f>
        <v/>
      </c>
      <c r="O472" s="9" t="n"/>
      <c r="P472" s="9" t="n"/>
      <c r="Q472" s="9" t="n"/>
      <c r="R472" s="9" t="n"/>
      <c r="S472" s="9" t="n"/>
    </row>
    <row r="473">
      <c r="A473" s="9" t="n"/>
      <c r="B473" s="9" t="n"/>
      <c r="C473" s="30" t="n"/>
      <c r="D473" s="9">
        <f>IF($C473="","",YEAR($C473)&amp;"-"&amp;TEXT(MONTH($C473),"00"))</f>
        <v/>
      </c>
      <c r="E473" s="9" t="n"/>
      <c r="F473" s="9" t="n"/>
      <c r="G473" s="9" t="n"/>
      <c r="H473" s="24" t="n"/>
      <c r="I473" s="9" t="n"/>
      <c r="J473" s="24" t="n"/>
      <c r="K473" s="24" t="n"/>
      <c r="L473" s="24">
        <f>IF($H473="","",ROUND($H473*$J473-N($K473),2))</f>
        <v/>
      </c>
      <c r="M473" s="31" t="n"/>
      <c r="N473" s="24">
        <f>IF(OR($L473="",$M473=""),"",ROUND($L473-$L473/(1+$M473/100),2))</f>
        <v/>
      </c>
      <c r="O473" s="9" t="n"/>
      <c r="P473" s="9" t="n"/>
      <c r="Q473" s="9" t="n"/>
      <c r="R473" s="9" t="n"/>
      <c r="S473" s="9" t="n"/>
    </row>
    <row r="474">
      <c r="A474" s="9" t="n"/>
      <c r="B474" s="9" t="n"/>
      <c r="C474" s="30" t="n"/>
      <c r="D474" s="9">
        <f>IF($C474="","",YEAR($C474)&amp;"-"&amp;TEXT(MONTH($C474),"00"))</f>
        <v/>
      </c>
      <c r="E474" s="9" t="n"/>
      <c r="F474" s="9" t="n"/>
      <c r="G474" s="9" t="n"/>
      <c r="H474" s="24" t="n"/>
      <c r="I474" s="9" t="n"/>
      <c r="J474" s="24" t="n"/>
      <c r="K474" s="24" t="n"/>
      <c r="L474" s="24">
        <f>IF($H474="","",ROUND($H474*$J474-N($K474),2))</f>
        <v/>
      </c>
      <c r="M474" s="31" t="n"/>
      <c r="N474" s="24">
        <f>IF(OR($L474="",$M474=""),"",ROUND($L474-$L474/(1+$M474/100),2))</f>
        <v/>
      </c>
      <c r="O474" s="9" t="n"/>
      <c r="P474" s="9" t="n"/>
      <c r="Q474" s="9" t="n"/>
      <c r="R474" s="9" t="n"/>
      <c r="S474" s="9" t="n"/>
    </row>
    <row r="475">
      <c r="A475" s="9" t="n"/>
      <c r="B475" s="9" t="n"/>
      <c r="C475" s="30" t="n"/>
      <c r="D475" s="9">
        <f>IF($C475="","",YEAR($C475)&amp;"-"&amp;TEXT(MONTH($C475),"00"))</f>
        <v/>
      </c>
      <c r="E475" s="9" t="n"/>
      <c r="F475" s="9" t="n"/>
      <c r="G475" s="9" t="n"/>
      <c r="H475" s="24" t="n"/>
      <c r="I475" s="9" t="n"/>
      <c r="J475" s="24" t="n"/>
      <c r="K475" s="24" t="n"/>
      <c r="L475" s="24">
        <f>IF($H475="","",ROUND($H475*$J475-N($K475),2))</f>
        <v/>
      </c>
      <c r="M475" s="31" t="n"/>
      <c r="N475" s="24">
        <f>IF(OR($L475="",$M475=""),"",ROUND($L475-$L475/(1+$M475/100),2))</f>
        <v/>
      </c>
      <c r="O475" s="9" t="n"/>
      <c r="P475" s="9" t="n"/>
      <c r="Q475" s="9" t="n"/>
      <c r="R475" s="9" t="n"/>
      <c r="S475" s="9" t="n"/>
    </row>
    <row r="476">
      <c r="A476" s="9" t="n"/>
      <c r="B476" s="9" t="n"/>
      <c r="C476" s="30" t="n"/>
      <c r="D476" s="9">
        <f>IF($C476="","",YEAR($C476)&amp;"-"&amp;TEXT(MONTH($C476),"00"))</f>
        <v/>
      </c>
      <c r="E476" s="9" t="n"/>
      <c r="F476" s="9" t="n"/>
      <c r="G476" s="9" t="n"/>
      <c r="H476" s="24" t="n"/>
      <c r="I476" s="9" t="n"/>
      <c r="J476" s="24" t="n"/>
      <c r="K476" s="24" t="n"/>
      <c r="L476" s="24">
        <f>IF($H476="","",ROUND($H476*$J476-N($K476),2))</f>
        <v/>
      </c>
      <c r="M476" s="31" t="n"/>
      <c r="N476" s="24">
        <f>IF(OR($L476="",$M476=""),"",ROUND($L476-$L476/(1+$M476/100),2))</f>
        <v/>
      </c>
      <c r="O476" s="9" t="n"/>
      <c r="P476" s="9" t="n"/>
      <c r="Q476" s="9" t="n"/>
      <c r="R476" s="9" t="n"/>
      <c r="S476" s="9" t="n"/>
    </row>
    <row r="477">
      <c r="A477" s="9" t="n"/>
      <c r="B477" s="9" t="n"/>
      <c r="C477" s="30" t="n"/>
      <c r="D477" s="9">
        <f>IF($C477="","",YEAR($C477)&amp;"-"&amp;TEXT(MONTH($C477),"00"))</f>
        <v/>
      </c>
      <c r="E477" s="9" t="n"/>
      <c r="F477" s="9" t="n"/>
      <c r="G477" s="9" t="n"/>
      <c r="H477" s="24" t="n"/>
      <c r="I477" s="9" t="n"/>
      <c r="J477" s="24" t="n"/>
      <c r="K477" s="24" t="n"/>
      <c r="L477" s="24">
        <f>IF($H477="","",ROUND($H477*$J477-N($K477),2))</f>
        <v/>
      </c>
      <c r="M477" s="31" t="n"/>
      <c r="N477" s="24">
        <f>IF(OR($L477="",$M477=""),"",ROUND($L477-$L477/(1+$M477/100),2))</f>
        <v/>
      </c>
      <c r="O477" s="9" t="n"/>
      <c r="P477" s="9" t="n"/>
      <c r="Q477" s="9" t="n"/>
      <c r="R477" s="9" t="n"/>
      <c r="S477" s="9" t="n"/>
    </row>
    <row r="478">
      <c r="A478" s="9" t="n"/>
      <c r="B478" s="9" t="n"/>
      <c r="C478" s="30" t="n"/>
      <c r="D478" s="9">
        <f>IF($C478="","",YEAR($C478)&amp;"-"&amp;TEXT(MONTH($C478),"00"))</f>
        <v/>
      </c>
      <c r="E478" s="9" t="n"/>
      <c r="F478" s="9" t="n"/>
      <c r="G478" s="9" t="n"/>
      <c r="H478" s="24" t="n"/>
      <c r="I478" s="9" t="n"/>
      <c r="J478" s="24" t="n"/>
      <c r="K478" s="24" t="n"/>
      <c r="L478" s="24">
        <f>IF($H478="","",ROUND($H478*$J478-N($K478),2))</f>
        <v/>
      </c>
      <c r="M478" s="31" t="n"/>
      <c r="N478" s="24">
        <f>IF(OR($L478="",$M478=""),"",ROUND($L478-$L478/(1+$M478/100),2))</f>
        <v/>
      </c>
      <c r="O478" s="9" t="n"/>
      <c r="P478" s="9" t="n"/>
      <c r="Q478" s="9" t="n"/>
      <c r="R478" s="9" t="n"/>
      <c r="S478" s="9" t="n"/>
    </row>
    <row r="479">
      <c r="A479" s="9" t="n"/>
      <c r="B479" s="9" t="n"/>
      <c r="C479" s="30" t="n"/>
      <c r="D479" s="9">
        <f>IF($C479="","",YEAR($C479)&amp;"-"&amp;TEXT(MONTH($C479),"00"))</f>
        <v/>
      </c>
      <c r="E479" s="9" t="n"/>
      <c r="F479" s="9" t="n"/>
      <c r="G479" s="9" t="n"/>
      <c r="H479" s="24" t="n"/>
      <c r="I479" s="9" t="n"/>
      <c r="J479" s="24" t="n"/>
      <c r="K479" s="24" t="n"/>
      <c r="L479" s="24">
        <f>IF($H479="","",ROUND($H479*$J479-N($K479),2))</f>
        <v/>
      </c>
      <c r="M479" s="31" t="n"/>
      <c r="N479" s="24">
        <f>IF(OR($L479="",$M479=""),"",ROUND($L479-$L479/(1+$M479/100),2))</f>
        <v/>
      </c>
      <c r="O479" s="9" t="n"/>
      <c r="P479" s="9" t="n"/>
      <c r="Q479" s="9" t="n"/>
      <c r="R479" s="9" t="n"/>
      <c r="S479" s="9" t="n"/>
    </row>
    <row r="480">
      <c r="A480" s="9" t="n"/>
      <c r="B480" s="9" t="n"/>
      <c r="C480" s="30" t="n"/>
      <c r="D480" s="9">
        <f>IF($C480="","",YEAR($C480)&amp;"-"&amp;TEXT(MONTH($C480),"00"))</f>
        <v/>
      </c>
      <c r="E480" s="9" t="n"/>
      <c r="F480" s="9" t="n"/>
      <c r="G480" s="9" t="n"/>
      <c r="H480" s="24" t="n"/>
      <c r="I480" s="9" t="n"/>
      <c r="J480" s="24" t="n"/>
      <c r="K480" s="24" t="n"/>
      <c r="L480" s="24">
        <f>IF($H480="","",ROUND($H480*$J480-N($K480),2))</f>
        <v/>
      </c>
      <c r="M480" s="31" t="n"/>
      <c r="N480" s="24">
        <f>IF(OR($L480="",$M480=""),"",ROUND($L480-$L480/(1+$M480/100),2))</f>
        <v/>
      </c>
      <c r="O480" s="9" t="n"/>
      <c r="P480" s="9" t="n"/>
      <c r="Q480" s="9" t="n"/>
      <c r="R480" s="9" t="n"/>
      <c r="S480" s="9" t="n"/>
    </row>
    <row r="481">
      <c r="A481" s="9" t="n"/>
      <c r="B481" s="9" t="n"/>
      <c r="C481" s="30" t="n"/>
      <c r="D481" s="9">
        <f>IF($C481="","",YEAR($C481)&amp;"-"&amp;TEXT(MONTH($C481),"00"))</f>
        <v/>
      </c>
      <c r="E481" s="9" t="n"/>
      <c r="F481" s="9" t="n"/>
      <c r="G481" s="9" t="n"/>
      <c r="H481" s="24" t="n"/>
      <c r="I481" s="9" t="n"/>
      <c r="J481" s="24" t="n"/>
      <c r="K481" s="24" t="n"/>
      <c r="L481" s="24">
        <f>IF($H481="","",ROUND($H481*$J481-N($K481),2))</f>
        <v/>
      </c>
      <c r="M481" s="31" t="n"/>
      <c r="N481" s="24">
        <f>IF(OR($L481="",$M481=""),"",ROUND($L481-$L481/(1+$M481/100),2))</f>
        <v/>
      </c>
      <c r="O481" s="9" t="n"/>
      <c r="P481" s="9" t="n"/>
      <c r="Q481" s="9" t="n"/>
      <c r="R481" s="9" t="n"/>
      <c r="S481" s="9" t="n"/>
    </row>
    <row r="482">
      <c r="A482" s="9" t="n"/>
      <c r="B482" s="9" t="n"/>
      <c r="C482" s="30" t="n"/>
      <c r="D482" s="9">
        <f>IF($C482="","",YEAR($C482)&amp;"-"&amp;TEXT(MONTH($C482),"00"))</f>
        <v/>
      </c>
      <c r="E482" s="9" t="n"/>
      <c r="F482" s="9" t="n"/>
      <c r="G482" s="9" t="n"/>
      <c r="H482" s="24" t="n"/>
      <c r="I482" s="9" t="n"/>
      <c r="J482" s="24" t="n"/>
      <c r="K482" s="24" t="n"/>
      <c r="L482" s="24">
        <f>IF($H482="","",ROUND($H482*$J482-N($K482),2))</f>
        <v/>
      </c>
      <c r="M482" s="31" t="n"/>
      <c r="N482" s="24">
        <f>IF(OR($L482="",$M482=""),"",ROUND($L482-$L482/(1+$M482/100),2))</f>
        <v/>
      </c>
      <c r="O482" s="9" t="n"/>
      <c r="P482" s="9" t="n"/>
      <c r="Q482" s="9" t="n"/>
      <c r="R482" s="9" t="n"/>
      <c r="S482" s="9" t="n"/>
    </row>
    <row r="483">
      <c r="A483" s="9" t="n"/>
      <c r="B483" s="9" t="n"/>
      <c r="C483" s="30" t="n"/>
      <c r="D483" s="9">
        <f>IF($C483="","",YEAR($C483)&amp;"-"&amp;TEXT(MONTH($C483),"00"))</f>
        <v/>
      </c>
      <c r="E483" s="9" t="n"/>
      <c r="F483" s="9" t="n"/>
      <c r="G483" s="9" t="n"/>
      <c r="H483" s="24" t="n"/>
      <c r="I483" s="9" t="n"/>
      <c r="J483" s="24" t="n"/>
      <c r="K483" s="24" t="n"/>
      <c r="L483" s="24">
        <f>IF($H483="","",ROUND($H483*$J483-N($K483),2))</f>
        <v/>
      </c>
      <c r="M483" s="31" t="n"/>
      <c r="N483" s="24">
        <f>IF(OR($L483="",$M483=""),"",ROUND($L483-$L483/(1+$M483/100),2))</f>
        <v/>
      </c>
      <c r="O483" s="9" t="n"/>
      <c r="P483" s="9" t="n"/>
      <c r="Q483" s="9" t="n"/>
      <c r="R483" s="9" t="n"/>
      <c r="S483" s="9" t="n"/>
    </row>
    <row r="484">
      <c r="A484" s="9" t="n"/>
      <c r="B484" s="9" t="n"/>
      <c r="C484" s="30" t="n"/>
      <c r="D484" s="9">
        <f>IF($C484="","",YEAR($C484)&amp;"-"&amp;TEXT(MONTH($C484),"00"))</f>
        <v/>
      </c>
      <c r="E484" s="9" t="n"/>
      <c r="F484" s="9" t="n"/>
      <c r="G484" s="9" t="n"/>
      <c r="H484" s="24" t="n"/>
      <c r="I484" s="9" t="n"/>
      <c r="J484" s="24" t="n"/>
      <c r="K484" s="24" t="n"/>
      <c r="L484" s="24">
        <f>IF($H484="","",ROUND($H484*$J484-N($K484),2))</f>
        <v/>
      </c>
      <c r="M484" s="31" t="n"/>
      <c r="N484" s="24">
        <f>IF(OR($L484="",$M484=""),"",ROUND($L484-$L484/(1+$M484/100),2))</f>
        <v/>
      </c>
      <c r="O484" s="9" t="n"/>
      <c r="P484" s="9" t="n"/>
      <c r="Q484" s="9" t="n"/>
      <c r="R484" s="9" t="n"/>
      <c r="S484" s="9" t="n"/>
    </row>
    <row r="485">
      <c r="A485" s="9" t="n"/>
      <c r="B485" s="9" t="n"/>
      <c r="C485" s="30" t="n"/>
      <c r="D485" s="9">
        <f>IF($C485="","",YEAR($C485)&amp;"-"&amp;TEXT(MONTH($C485),"00"))</f>
        <v/>
      </c>
      <c r="E485" s="9" t="n"/>
      <c r="F485" s="9" t="n"/>
      <c r="G485" s="9" t="n"/>
      <c r="H485" s="24" t="n"/>
      <c r="I485" s="9" t="n"/>
      <c r="J485" s="24" t="n"/>
      <c r="K485" s="24" t="n"/>
      <c r="L485" s="24">
        <f>IF($H485="","",ROUND($H485*$J485-N($K485),2))</f>
        <v/>
      </c>
      <c r="M485" s="31" t="n"/>
      <c r="N485" s="24">
        <f>IF(OR($L485="",$M485=""),"",ROUND($L485-$L485/(1+$M485/100),2))</f>
        <v/>
      </c>
      <c r="O485" s="9" t="n"/>
      <c r="P485" s="9" t="n"/>
      <c r="Q485" s="9" t="n"/>
      <c r="R485" s="9" t="n"/>
      <c r="S485" s="9" t="n"/>
    </row>
    <row r="486">
      <c r="A486" s="9" t="n"/>
      <c r="B486" s="9" t="n"/>
      <c r="C486" s="30" t="n"/>
      <c r="D486" s="9">
        <f>IF($C486="","",YEAR($C486)&amp;"-"&amp;TEXT(MONTH($C486),"00"))</f>
        <v/>
      </c>
      <c r="E486" s="9" t="n"/>
      <c r="F486" s="9" t="n"/>
      <c r="G486" s="9" t="n"/>
      <c r="H486" s="24" t="n"/>
      <c r="I486" s="9" t="n"/>
      <c r="J486" s="24" t="n"/>
      <c r="K486" s="24" t="n"/>
      <c r="L486" s="24">
        <f>IF($H486="","",ROUND($H486*$J486-N($K486),2))</f>
        <v/>
      </c>
      <c r="M486" s="31" t="n"/>
      <c r="N486" s="24">
        <f>IF(OR($L486="",$M486=""),"",ROUND($L486-$L486/(1+$M486/100),2))</f>
        <v/>
      </c>
      <c r="O486" s="9" t="n"/>
      <c r="P486" s="9" t="n"/>
      <c r="Q486" s="9" t="n"/>
      <c r="R486" s="9" t="n"/>
      <c r="S486" s="9" t="n"/>
    </row>
    <row r="487">
      <c r="A487" s="9" t="n"/>
      <c r="B487" s="9" t="n"/>
      <c r="C487" s="30" t="n"/>
      <c r="D487" s="9">
        <f>IF($C487="","",YEAR($C487)&amp;"-"&amp;TEXT(MONTH($C487),"00"))</f>
        <v/>
      </c>
      <c r="E487" s="9" t="n"/>
      <c r="F487" s="9" t="n"/>
      <c r="G487" s="9" t="n"/>
      <c r="H487" s="24" t="n"/>
      <c r="I487" s="9" t="n"/>
      <c r="J487" s="24" t="n"/>
      <c r="K487" s="24" t="n"/>
      <c r="L487" s="24">
        <f>IF($H487="","",ROUND($H487*$J487-N($K487),2))</f>
        <v/>
      </c>
      <c r="M487" s="31" t="n"/>
      <c r="N487" s="24">
        <f>IF(OR($L487="",$M487=""),"",ROUND($L487-$L487/(1+$M487/100),2))</f>
        <v/>
      </c>
      <c r="O487" s="9" t="n"/>
      <c r="P487" s="9" t="n"/>
      <c r="Q487" s="9" t="n"/>
      <c r="R487" s="9" t="n"/>
      <c r="S487" s="9" t="n"/>
    </row>
    <row r="488">
      <c r="A488" s="9" t="n"/>
      <c r="B488" s="9" t="n"/>
      <c r="C488" s="30" t="n"/>
      <c r="D488" s="9">
        <f>IF($C488="","",YEAR($C488)&amp;"-"&amp;TEXT(MONTH($C488),"00"))</f>
        <v/>
      </c>
      <c r="E488" s="9" t="n"/>
      <c r="F488" s="9" t="n"/>
      <c r="G488" s="9" t="n"/>
      <c r="H488" s="24" t="n"/>
      <c r="I488" s="9" t="n"/>
      <c r="J488" s="24" t="n"/>
      <c r="K488" s="24" t="n"/>
      <c r="L488" s="24">
        <f>IF($H488="","",ROUND($H488*$J488-N($K488),2))</f>
        <v/>
      </c>
      <c r="M488" s="31" t="n"/>
      <c r="N488" s="24">
        <f>IF(OR($L488="",$M488=""),"",ROUND($L488-$L488/(1+$M488/100),2))</f>
        <v/>
      </c>
      <c r="O488" s="9" t="n"/>
      <c r="P488" s="9" t="n"/>
      <c r="Q488" s="9" t="n"/>
      <c r="R488" s="9" t="n"/>
      <c r="S488" s="9" t="n"/>
    </row>
    <row r="489">
      <c r="A489" s="9" t="n"/>
      <c r="B489" s="9" t="n"/>
      <c r="C489" s="30" t="n"/>
      <c r="D489" s="9">
        <f>IF($C489="","",YEAR($C489)&amp;"-"&amp;TEXT(MONTH($C489),"00"))</f>
        <v/>
      </c>
      <c r="E489" s="9" t="n"/>
      <c r="F489" s="9" t="n"/>
      <c r="G489" s="9" t="n"/>
      <c r="H489" s="24" t="n"/>
      <c r="I489" s="9" t="n"/>
      <c r="J489" s="24" t="n"/>
      <c r="K489" s="24" t="n"/>
      <c r="L489" s="24">
        <f>IF($H489="","",ROUND($H489*$J489-N($K489),2))</f>
        <v/>
      </c>
      <c r="M489" s="31" t="n"/>
      <c r="N489" s="24">
        <f>IF(OR($L489="",$M489=""),"",ROUND($L489-$L489/(1+$M489/100),2))</f>
        <v/>
      </c>
      <c r="O489" s="9" t="n"/>
      <c r="P489" s="9" t="n"/>
      <c r="Q489" s="9" t="n"/>
      <c r="R489" s="9" t="n"/>
      <c r="S489" s="9" t="n"/>
    </row>
    <row r="490">
      <c r="A490" s="9" t="n"/>
      <c r="B490" s="9" t="n"/>
      <c r="C490" s="30" t="n"/>
      <c r="D490" s="9">
        <f>IF($C490="","",YEAR($C490)&amp;"-"&amp;TEXT(MONTH($C490),"00"))</f>
        <v/>
      </c>
      <c r="E490" s="9" t="n"/>
      <c r="F490" s="9" t="n"/>
      <c r="G490" s="9" t="n"/>
      <c r="H490" s="24" t="n"/>
      <c r="I490" s="9" t="n"/>
      <c r="J490" s="24" t="n"/>
      <c r="K490" s="24" t="n"/>
      <c r="L490" s="24">
        <f>IF($H490="","",ROUND($H490*$J490-N($K490),2))</f>
        <v/>
      </c>
      <c r="M490" s="31" t="n"/>
      <c r="N490" s="24">
        <f>IF(OR($L490="",$M490=""),"",ROUND($L490-$L490/(1+$M490/100),2))</f>
        <v/>
      </c>
      <c r="O490" s="9" t="n"/>
      <c r="P490" s="9" t="n"/>
      <c r="Q490" s="9" t="n"/>
      <c r="R490" s="9" t="n"/>
      <c r="S490" s="9" t="n"/>
    </row>
    <row r="491">
      <c r="A491" s="9" t="n"/>
      <c r="B491" s="9" t="n"/>
      <c r="C491" s="30" t="n"/>
      <c r="D491" s="9">
        <f>IF($C491="","",YEAR($C491)&amp;"-"&amp;TEXT(MONTH($C491),"00"))</f>
        <v/>
      </c>
      <c r="E491" s="9" t="n"/>
      <c r="F491" s="9" t="n"/>
      <c r="G491" s="9" t="n"/>
      <c r="H491" s="24" t="n"/>
      <c r="I491" s="9" t="n"/>
      <c r="J491" s="24" t="n"/>
      <c r="K491" s="24" t="n"/>
      <c r="L491" s="24">
        <f>IF($H491="","",ROUND($H491*$J491-N($K491),2))</f>
        <v/>
      </c>
      <c r="M491" s="31" t="n"/>
      <c r="N491" s="24">
        <f>IF(OR($L491="",$M491=""),"",ROUND($L491-$L491/(1+$M491/100),2))</f>
        <v/>
      </c>
      <c r="O491" s="9" t="n"/>
      <c r="P491" s="9" t="n"/>
      <c r="Q491" s="9" t="n"/>
      <c r="R491" s="9" t="n"/>
      <c r="S491" s="9" t="n"/>
    </row>
    <row r="492">
      <c r="A492" s="9" t="n"/>
      <c r="B492" s="9" t="n"/>
      <c r="C492" s="30" t="n"/>
      <c r="D492" s="9">
        <f>IF($C492="","",YEAR($C492)&amp;"-"&amp;TEXT(MONTH($C492),"00"))</f>
        <v/>
      </c>
      <c r="E492" s="9" t="n"/>
      <c r="F492" s="9" t="n"/>
      <c r="G492" s="9" t="n"/>
      <c r="H492" s="24" t="n"/>
      <c r="I492" s="9" t="n"/>
      <c r="J492" s="24" t="n"/>
      <c r="K492" s="24" t="n"/>
      <c r="L492" s="24">
        <f>IF($H492="","",ROUND($H492*$J492-N($K492),2))</f>
        <v/>
      </c>
      <c r="M492" s="31" t="n"/>
      <c r="N492" s="24">
        <f>IF(OR($L492="",$M492=""),"",ROUND($L492-$L492/(1+$M492/100),2))</f>
        <v/>
      </c>
      <c r="O492" s="9" t="n"/>
      <c r="P492" s="9" t="n"/>
      <c r="Q492" s="9" t="n"/>
      <c r="R492" s="9" t="n"/>
      <c r="S492" s="9" t="n"/>
    </row>
    <row r="493">
      <c r="A493" s="9" t="n"/>
      <c r="B493" s="9" t="n"/>
      <c r="C493" s="30" t="n"/>
      <c r="D493" s="9">
        <f>IF($C493="","",YEAR($C493)&amp;"-"&amp;TEXT(MONTH($C493),"00"))</f>
        <v/>
      </c>
      <c r="E493" s="9" t="n"/>
      <c r="F493" s="9" t="n"/>
      <c r="G493" s="9" t="n"/>
      <c r="H493" s="24" t="n"/>
      <c r="I493" s="9" t="n"/>
      <c r="J493" s="24" t="n"/>
      <c r="K493" s="24" t="n"/>
      <c r="L493" s="24">
        <f>IF($H493="","",ROUND($H493*$J493-N($K493),2))</f>
        <v/>
      </c>
      <c r="M493" s="31" t="n"/>
      <c r="N493" s="24">
        <f>IF(OR($L493="",$M493=""),"",ROUND($L493-$L493/(1+$M493/100),2))</f>
        <v/>
      </c>
      <c r="O493" s="9" t="n"/>
      <c r="P493" s="9" t="n"/>
      <c r="Q493" s="9" t="n"/>
      <c r="R493" s="9" t="n"/>
      <c r="S493" s="9" t="n"/>
    </row>
    <row r="494">
      <c r="A494" s="9" t="n"/>
      <c r="B494" s="9" t="n"/>
      <c r="C494" s="30" t="n"/>
      <c r="D494" s="9">
        <f>IF($C494="","",YEAR($C494)&amp;"-"&amp;TEXT(MONTH($C494),"00"))</f>
        <v/>
      </c>
      <c r="E494" s="9" t="n"/>
      <c r="F494" s="9" t="n"/>
      <c r="G494" s="9" t="n"/>
      <c r="H494" s="24" t="n"/>
      <c r="I494" s="9" t="n"/>
      <c r="J494" s="24" t="n"/>
      <c r="K494" s="24" t="n"/>
      <c r="L494" s="24">
        <f>IF($H494="","",ROUND($H494*$J494-N($K494),2))</f>
        <v/>
      </c>
      <c r="M494" s="31" t="n"/>
      <c r="N494" s="24">
        <f>IF(OR($L494="",$M494=""),"",ROUND($L494-$L494/(1+$M494/100),2))</f>
        <v/>
      </c>
      <c r="O494" s="9" t="n"/>
      <c r="P494" s="9" t="n"/>
      <c r="Q494" s="9" t="n"/>
      <c r="R494" s="9" t="n"/>
      <c r="S494" s="9" t="n"/>
    </row>
    <row r="495">
      <c r="A495" s="9" t="n"/>
      <c r="B495" s="9" t="n"/>
      <c r="C495" s="30" t="n"/>
      <c r="D495" s="9">
        <f>IF($C495="","",YEAR($C495)&amp;"-"&amp;TEXT(MONTH($C495),"00"))</f>
        <v/>
      </c>
      <c r="E495" s="9" t="n"/>
      <c r="F495" s="9" t="n"/>
      <c r="G495" s="9" t="n"/>
      <c r="H495" s="24" t="n"/>
      <c r="I495" s="9" t="n"/>
      <c r="J495" s="24" t="n"/>
      <c r="K495" s="24" t="n"/>
      <c r="L495" s="24">
        <f>IF($H495="","",ROUND($H495*$J495-N($K495),2))</f>
        <v/>
      </c>
      <c r="M495" s="31" t="n"/>
      <c r="N495" s="24">
        <f>IF(OR($L495="",$M495=""),"",ROUND($L495-$L495/(1+$M495/100),2))</f>
        <v/>
      </c>
      <c r="O495" s="9" t="n"/>
      <c r="P495" s="9" t="n"/>
      <c r="Q495" s="9" t="n"/>
      <c r="R495" s="9" t="n"/>
      <c r="S495" s="9" t="n"/>
    </row>
    <row r="496">
      <c r="A496" s="9" t="n"/>
      <c r="B496" s="9" t="n"/>
      <c r="C496" s="30" t="n"/>
      <c r="D496" s="9">
        <f>IF($C496="","",YEAR($C496)&amp;"-"&amp;TEXT(MONTH($C496),"00"))</f>
        <v/>
      </c>
      <c r="E496" s="9" t="n"/>
      <c r="F496" s="9" t="n"/>
      <c r="G496" s="9" t="n"/>
      <c r="H496" s="24" t="n"/>
      <c r="I496" s="9" t="n"/>
      <c r="J496" s="24" t="n"/>
      <c r="K496" s="24" t="n"/>
      <c r="L496" s="24">
        <f>IF($H496="","",ROUND($H496*$J496-N($K496),2))</f>
        <v/>
      </c>
      <c r="M496" s="31" t="n"/>
      <c r="N496" s="24">
        <f>IF(OR($L496="",$M496=""),"",ROUND($L496-$L496/(1+$M496/100),2))</f>
        <v/>
      </c>
      <c r="O496" s="9" t="n"/>
      <c r="P496" s="9" t="n"/>
      <c r="Q496" s="9" t="n"/>
      <c r="R496" s="9" t="n"/>
      <c r="S496" s="9" t="n"/>
    </row>
    <row r="497">
      <c r="A497" s="9" t="n"/>
      <c r="B497" s="9" t="n"/>
      <c r="C497" s="30" t="n"/>
      <c r="D497" s="9">
        <f>IF($C497="","",YEAR($C497)&amp;"-"&amp;TEXT(MONTH($C497),"00"))</f>
        <v/>
      </c>
      <c r="E497" s="9" t="n"/>
      <c r="F497" s="9" t="n"/>
      <c r="G497" s="9" t="n"/>
      <c r="H497" s="24" t="n"/>
      <c r="I497" s="9" t="n"/>
      <c r="J497" s="24" t="n"/>
      <c r="K497" s="24" t="n"/>
      <c r="L497" s="24">
        <f>IF($H497="","",ROUND($H497*$J497-N($K497),2))</f>
        <v/>
      </c>
      <c r="M497" s="31" t="n"/>
      <c r="N497" s="24">
        <f>IF(OR($L497="",$M497=""),"",ROUND($L497-$L497/(1+$M497/100),2))</f>
        <v/>
      </c>
      <c r="O497" s="9" t="n"/>
      <c r="P497" s="9" t="n"/>
      <c r="Q497" s="9" t="n"/>
      <c r="R497" s="9" t="n"/>
      <c r="S497" s="9" t="n"/>
    </row>
    <row r="498">
      <c r="A498" s="9" t="n"/>
      <c r="B498" s="9" t="n"/>
      <c r="C498" s="30" t="n"/>
      <c r="D498" s="9">
        <f>IF($C498="","",YEAR($C498)&amp;"-"&amp;TEXT(MONTH($C498),"00"))</f>
        <v/>
      </c>
      <c r="E498" s="9" t="n"/>
      <c r="F498" s="9" t="n"/>
      <c r="G498" s="9" t="n"/>
      <c r="H498" s="24" t="n"/>
      <c r="I498" s="9" t="n"/>
      <c r="J498" s="24" t="n"/>
      <c r="K498" s="24" t="n"/>
      <c r="L498" s="24">
        <f>IF($H498="","",ROUND($H498*$J498-N($K498),2))</f>
        <v/>
      </c>
      <c r="M498" s="31" t="n"/>
      <c r="N498" s="24">
        <f>IF(OR($L498="",$M498=""),"",ROUND($L498-$L498/(1+$M498/100),2))</f>
        <v/>
      </c>
      <c r="O498" s="9" t="n"/>
      <c r="P498" s="9" t="n"/>
      <c r="Q498" s="9" t="n"/>
      <c r="R498" s="9" t="n"/>
      <c r="S498" s="9" t="n"/>
    </row>
    <row r="499">
      <c r="A499" s="9" t="n"/>
      <c r="B499" s="9" t="n"/>
      <c r="C499" s="30" t="n"/>
      <c r="D499" s="9">
        <f>IF($C499="","",YEAR($C499)&amp;"-"&amp;TEXT(MONTH($C499),"00"))</f>
        <v/>
      </c>
      <c r="E499" s="9" t="n"/>
      <c r="F499" s="9" t="n"/>
      <c r="G499" s="9" t="n"/>
      <c r="H499" s="24" t="n"/>
      <c r="I499" s="9" t="n"/>
      <c r="J499" s="24" t="n"/>
      <c r="K499" s="24" t="n"/>
      <c r="L499" s="24">
        <f>IF($H499="","",ROUND($H499*$J499-N($K499),2))</f>
        <v/>
      </c>
      <c r="M499" s="31" t="n"/>
      <c r="N499" s="24">
        <f>IF(OR($L499="",$M499=""),"",ROUND($L499-$L499/(1+$M499/100),2))</f>
        <v/>
      </c>
      <c r="O499" s="9" t="n"/>
      <c r="P499" s="9" t="n"/>
      <c r="Q499" s="9" t="n"/>
      <c r="R499" s="9" t="n"/>
      <c r="S499" s="9" t="n"/>
    </row>
    <row r="500">
      <c r="A500" s="9" t="n"/>
      <c r="B500" s="9" t="n"/>
      <c r="C500" s="30" t="n"/>
      <c r="D500" s="9">
        <f>IF($C500="","",YEAR($C500)&amp;"-"&amp;TEXT(MONTH($C500),"00"))</f>
        <v/>
      </c>
      <c r="E500" s="9" t="n"/>
      <c r="F500" s="9" t="n"/>
      <c r="G500" s="9" t="n"/>
      <c r="H500" s="24" t="n"/>
      <c r="I500" s="9" t="n"/>
      <c r="J500" s="24" t="n"/>
      <c r="K500" s="24" t="n"/>
      <c r="L500" s="24">
        <f>IF($H500="","",ROUND($H500*$J500-N($K500),2))</f>
        <v/>
      </c>
      <c r="M500" s="31" t="n"/>
      <c r="N500" s="24">
        <f>IF(OR($L500="",$M500=""),"",ROUND($L500-$L500/(1+$M500/100),2))</f>
        <v/>
      </c>
      <c r="O500" s="9" t="n"/>
      <c r="P500" s="9" t="n"/>
      <c r="Q500" s="9" t="n"/>
      <c r="R500" s="9" t="n"/>
      <c r="S500" s="9" t="n"/>
    </row>
    <row r="501">
      <c r="A501" s="9" t="n"/>
      <c r="B501" s="9" t="n"/>
      <c r="C501" s="30" t="n"/>
      <c r="D501" s="9">
        <f>IF($C501="","",YEAR($C501)&amp;"-"&amp;TEXT(MONTH($C501),"00"))</f>
        <v/>
      </c>
      <c r="E501" s="9" t="n"/>
      <c r="F501" s="9" t="n"/>
      <c r="G501" s="9" t="n"/>
      <c r="H501" s="24" t="n"/>
      <c r="I501" s="9" t="n"/>
      <c r="J501" s="24" t="n"/>
      <c r="K501" s="24" t="n"/>
      <c r="L501" s="24">
        <f>IF($H501="","",ROUND($H501*$J501-N($K501),2))</f>
        <v/>
      </c>
      <c r="M501" s="31" t="n"/>
      <c r="N501" s="24">
        <f>IF(OR($L501="",$M501=""),"",ROUND($L501-$L501/(1+$M501/100),2))</f>
        <v/>
      </c>
      <c r="O501" s="9" t="n"/>
      <c r="P501" s="9" t="n"/>
      <c r="Q501" s="9" t="n"/>
      <c r="R501" s="9" t="n"/>
      <c r="S501" s="9" t="n"/>
    </row>
    <row r="502">
      <c r="A502" s="9" t="n"/>
      <c r="B502" s="9" t="n"/>
      <c r="C502" s="30" t="n"/>
      <c r="D502" s="9">
        <f>IF($C502="","",YEAR($C502)&amp;"-"&amp;TEXT(MONTH($C502),"00"))</f>
        <v/>
      </c>
      <c r="E502" s="9" t="n"/>
      <c r="F502" s="9" t="n"/>
      <c r="G502" s="9" t="n"/>
      <c r="H502" s="24" t="n"/>
      <c r="I502" s="9" t="n"/>
      <c r="J502" s="24" t="n"/>
      <c r="K502" s="24" t="n"/>
      <c r="L502" s="24">
        <f>IF($H502="","",ROUND($H502*$J502-N($K502),2))</f>
        <v/>
      </c>
      <c r="M502" s="31" t="n"/>
      <c r="N502" s="24">
        <f>IF(OR($L502="",$M502=""),"",ROUND($L502-$L502/(1+$M502/100),2))</f>
        <v/>
      </c>
      <c r="O502" s="9" t="n"/>
      <c r="P502" s="9" t="n"/>
      <c r="Q502" s="9" t="n"/>
      <c r="R502" s="9" t="n"/>
      <c r="S502" s="9" t="n"/>
    </row>
    <row r="503">
      <c r="A503" s="9" t="n"/>
      <c r="B503" s="9" t="n"/>
      <c r="C503" s="30" t="n"/>
      <c r="D503" s="9">
        <f>IF($C503="","",YEAR($C503)&amp;"-"&amp;TEXT(MONTH($C503),"00"))</f>
        <v/>
      </c>
      <c r="E503" s="9" t="n"/>
      <c r="F503" s="9" t="n"/>
      <c r="G503" s="9" t="n"/>
      <c r="H503" s="24" t="n"/>
      <c r="I503" s="9" t="n"/>
      <c r="J503" s="24" t="n"/>
      <c r="K503" s="24" t="n"/>
      <c r="L503" s="24">
        <f>IF($H503="","",ROUND($H503*$J503-N($K503),2))</f>
        <v/>
      </c>
      <c r="M503" s="31" t="n"/>
      <c r="N503" s="24">
        <f>IF(OR($L503="",$M503=""),"",ROUND($L503-$L503/(1+$M503/100),2))</f>
        <v/>
      </c>
      <c r="O503" s="9" t="n"/>
      <c r="P503" s="9" t="n"/>
      <c r="Q503" s="9" t="n"/>
      <c r="R503" s="9" t="n"/>
      <c r="S503" s="9" t="n"/>
    </row>
    <row r="504">
      <c r="A504" s="9" t="n"/>
      <c r="B504" s="9" t="n"/>
      <c r="C504" s="30" t="n"/>
      <c r="D504" s="9">
        <f>IF($C504="","",YEAR($C504)&amp;"-"&amp;TEXT(MONTH($C504),"00"))</f>
        <v/>
      </c>
      <c r="E504" s="9" t="n"/>
      <c r="F504" s="9" t="n"/>
      <c r="G504" s="9" t="n"/>
      <c r="H504" s="24" t="n"/>
      <c r="I504" s="9" t="n"/>
      <c r="J504" s="24" t="n"/>
      <c r="K504" s="24" t="n"/>
      <c r="L504" s="24">
        <f>IF($H504="","",ROUND($H504*$J504-N($K504),2))</f>
        <v/>
      </c>
      <c r="M504" s="31" t="n"/>
      <c r="N504" s="24">
        <f>IF(OR($L504="",$M504=""),"",ROUND($L504-$L504/(1+$M504/100),2))</f>
        <v/>
      </c>
      <c r="O504" s="9" t="n"/>
      <c r="P504" s="9" t="n"/>
      <c r="Q504" s="9" t="n"/>
      <c r="R504" s="9" t="n"/>
      <c r="S504" s="9" t="n"/>
    </row>
    <row r="505">
      <c r="A505" s="9" t="n"/>
      <c r="B505" s="9" t="n"/>
      <c r="C505" s="30" t="n"/>
      <c r="D505" s="9">
        <f>IF($C505="","",YEAR($C505)&amp;"-"&amp;TEXT(MONTH($C505),"00"))</f>
        <v/>
      </c>
      <c r="E505" s="9" t="n"/>
      <c r="F505" s="9" t="n"/>
      <c r="G505" s="9" t="n"/>
      <c r="H505" s="24" t="n"/>
      <c r="I505" s="9" t="n"/>
      <c r="J505" s="24" t="n"/>
      <c r="K505" s="24" t="n"/>
      <c r="L505" s="24">
        <f>IF($H505="","",ROUND($H505*$J505-N($K505),2))</f>
        <v/>
      </c>
      <c r="M505" s="31" t="n"/>
      <c r="N505" s="24">
        <f>IF(OR($L505="",$M505=""),"",ROUND($L505-$L505/(1+$M505/100),2))</f>
        <v/>
      </c>
      <c r="O505" s="9" t="n"/>
      <c r="P505" s="9" t="n"/>
      <c r="Q505" s="9" t="n"/>
      <c r="R505" s="9" t="n"/>
      <c r="S505" s="9" t="n"/>
    </row>
    <row r="506">
      <c r="A506" s="9" t="n"/>
      <c r="B506" s="9" t="n"/>
      <c r="C506" s="30" t="n"/>
      <c r="D506" s="9">
        <f>IF($C506="","",YEAR($C506)&amp;"-"&amp;TEXT(MONTH($C506),"00"))</f>
        <v/>
      </c>
      <c r="E506" s="9" t="n"/>
      <c r="F506" s="9" t="n"/>
      <c r="G506" s="9" t="n"/>
      <c r="H506" s="24" t="n"/>
      <c r="I506" s="9" t="n"/>
      <c r="J506" s="24" t="n"/>
      <c r="K506" s="24" t="n"/>
      <c r="L506" s="24">
        <f>IF($H506="","",ROUND($H506*$J506-N($K506),2))</f>
        <v/>
      </c>
      <c r="M506" s="31" t="n"/>
      <c r="N506" s="24">
        <f>IF(OR($L506="",$M506=""),"",ROUND($L506-$L506/(1+$M506/100),2))</f>
        <v/>
      </c>
      <c r="O506" s="9" t="n"/>
      <c r="P506" s="9" t="n"/>
      <c r="Q506" s="9" t="n"/>
      <c r="R506" s="9" t="n"/>
      <c r="S506" s="9" t="n"/>
    </row>
    <row r="507">
      <c r="A507" s="9" t="n"/>
      <c r="B507" s="9" t="n"/>
      <c r="C507" s="30" t="n"/>
      <c r="D507" s="9">
        <f>IF($C507="","",YEAR($C507)&amp;"-"&amp;TEXT(MONTH($C507),"00"))</f>
        <v/>
      </c>
      <c r="E507" s="9" t="n"/>
      <c r="F507" s="9" t="n"/>
      <c r="G507" s="9" t="n"/>
      <c r="H507" s="24" t="n"/>
      <c r="I507" s="9" t="n"/>
      <c r="J507" s="24" t="n"/>
      <c r="K507" s="24" t="n"/>
      <c r="L507" s="24">
        <f>IF($H507="","",ROUND($H507*$J507-N($K507),2))</f>
        <v/>
      </c>
      <c r="M507" s="31" t="n"/>
      <c r="N507" s="24">
        <f>IF(OR($L507="",$M507=""),"",ROUND($L507-$L507/(1+$M507/100),2))</f>
        <v/>
      </c>
      <c r="O507" s="9" t="n"/>
      <c r="P507" s="9" t="n"/>
      <c r="Q507" s="9" t="n"/>
      <c r="R507" s="9" t="n"/>
      <c r="S507" s="9" t="n"/>
    </row>
    <row r="508">
      <c r="A508" s="9" t="n"/>
      <c r="B508" s="9" t="n"/>
      <c r="C508" s="30" t="n"/>
      <c r="D508" s="9">
        <f>IF($C508="","",YEAR($C508)&amp;"-"&amp;TEXT(MONTH($C508),"00"))</f>
        <v/>
      </c>
      <c r="E508" s="9" t="n"/>
      <c r="F508" s="9" t="n"/>
      <c r="G508" s="9" t="n"/>
      <c r="H508" s="24" t="n"/>
      <c r="I508" s="9" t="n"/>
      <c r="J508" s="24" t="n"/>
      <c r="K508" s="24" t="n"/>
      <c r="L508" s="24">
        <f>IF($H508="","",ROUND($H508*$J508-N($K508),2))</f>
        <v/>
      </c>
      <c r="M508" s="31" t="n"/>
      <c r="N508" s="24">
        <f>IF(OR($L508="",$M508=""),"",ROUND($L508-$L508/(1+$M508/100),2))</f>
        <v/>
      </c>
      <c r="O508" s="9" t="n"/>
      <c r="P508" s="9" t="n"/>
      <c r="Q508" s="9" t="n"/>
      <c r="R508" s="9" t="n"/>
      <c r="S508" s="9" t="n"/>
    </row>
    <row r="509">
      <c r="A509" s="9" t="n"/>
      <c r="B509" s="9" t="n"/>
      <c r="C509" s="30" t="n"/>
      <c r="D509" s="9">
        <f>IF($C509="","",YEAR($C509)&amp;"-"&amp;TEXT(MONTH($C509),"00"))</f>
        <v/>
      </c>
      <c r="E509" s="9" t="n"/>
      <c r="F509" s="9" t="n"/>
      <c r="G509" s="9" t="n"/>
      <c r="H509" s="24" t="n"/>
      <c r="I509" s="9" t="n"/>
      <c r="J509" s="24" t="n"/>
      <c r="K509" s="24" t="n"/>
      <c r="L509" s="24">
        <f>IF($H509="","",ROUND($H509*$J509-N($K509),2))</f>
        <v/>
      </c>
      <c r="M509" s="31" t="n"/>
      <c r="N509" s="24">
        <f>IF(OR($L509="",$M509=""),"",ROUND($L509-$L509/(1+$M509/100),2))</f>
        <v/>
      </c>
      <c r="O509" s="9" t="n"/>
      <c r="P509" s="9" t="n"/>
      <c r="Q509" s="9" t="n"/>
      <c r="R509" s="9" t="n"/>
      <c r="S509" s="9" t="n"/>
    </row>
    <row r="510">
      <c r="A510" s="9" t="n"/>
      <c r="B510" s="9" t="n"/>
      <c r="C510" s="30" t="n"/>
      <c r="D510" s="9">
        <f>IF($C510="","",YEAR($C510)&amp;"-"&amp;TEXT(MONTH($C510),"00"))</f>
        <v/>
      </c>
      <c r="E510" s="9" t="n"/>
      <c r="F510" s="9" t="n"/>
      <c r="G510" s="9" t="n"/>
      <c r="H510" s="24" t="n"/>
      <c r="I510" s="9" t="n"/>
      <c r="J510" s="24" t="n"/>
      <c r="K510" s="24" t="n"/>
      <c r="L510" s="24">
        <f>IF($H510="","",ROUND($H510*$J510-N($K510),2))</f>
        <v/>
      </c>
      <c r="M510" s="31" t="n"/>
      <c r="N510" s="24">
        <f>IF(OR($L510="",$M510=""),"",ROUND($L510-$L510/(1+$M510/100),2))</f>
        <v/>
      </c>
      <c r="O510" s="9" t="n"/>
      <c r="P510" s="9" t="n"/>
      <c r="Q510" s="9" t="n"/>
      <c r="R510" s="9" t="n"/>
      <c r="S510" s="9" t="n"/>
    </row>
    <row r="511">
      <c r="A511" s="9" t="n"/>
      <c r="B511" s="9" t="n"/>
      <c r="C511" s="30" t="n"/>
      <c r="D511" s="9">
        <f>IF($C511="","",YEAR($C511)&amp;"-"&amp;TEXT(MONTH($C511),"00"))</f>
        <v/>
      </c>
      <c r="E511" s="9" t="n"/>
      <c r="F511" s="9" t="n"/>
      <c r="G511" s="9" t="n"/>
      <c r="H511" s="24" t="n"/>
      <c r="I511" s="9" t="n"/>
      <c r="J511" s="24" t="n"/>
      <c r="K511" s="24" t="n"/>
      <c r="L511" s="24">
        <f>IF($H511="","",ROUND($H511*$J511-N($K511),2))</f>
        <v/>
      </c>
      <c r="M511" s="31" t="n"/>
      <c r="N511" s="24">
        <f>IF(OR($L511="",$M511=""),"",ROUND($L511-$L511/(1+$M511/100),2))</f>
        <v/>
      </c>
      <c r="O511" s="9" t="n"/>
      <c r="P511" s="9" t="n"/>
      <c r="Q511" s="9" t="n"/>
      <c r="R511" s="9" t="n"/>
      <c r="S511" s="9" t="n"/>
    </row>
    <row r="512">
      <c r="A512" s="9" t="n"/>
      <c r="B512" s="9" t="n"/>
      <c r="C512" s="30" t="n"/>
      <c r="D512" s="9">
        <f>IF($C512="","",YEAR($C512)&amp;"-"&amp;TEXT(MONTH($C512),"00"))</f>
        <v/>
      </c>
      <c r="E512" s="9" t="n"/>
      <c r="F512" s="9" t="n"/>
      <c r="G512" s="9" t="n"/>
      <c r="H512" s="24" t="n"/>
      <c r="I512" s="9" t="n"/>
      <c r="J512" s="24" t="n"/>
      <c r="K512" s="24" t="n"/>
      <c r="L512" s="24">
        <f>IF($H512="","",ROUND($H512*$J512-N($K512),2))</f>
        <v/>
      </c>
      <c r="M512" s="31" t="n"/>
      <c r="N512" s="24">
        <f>IF(OR($L512="",$M512=""),"",ROUND($L512-$L512/(1+$M512/100),2))</f>
        <v/>
      </c>
      <c r="O512" s="9" t="n"/>
      <c r="P512" s="9" t="n"/>
      <c r="Q512" s="9" t="n"/>
      <c r="R512" s="9" t="n"/>
      <c r="S512" s="9" t="n"/>
    </row>
    <row r="513">
      <c r="A513" s="9" t="n"/>
      <c r="B513" s="9" t="n"/>
      <c r="C513" s="30" t="n"/>
      <c r="D513" s="9">
        <f>IF($C513="","",YEAR($C513)&amp;"-"&amp;TEXT(MONTH($C513),"00"))</f>
        <v/>
      </c>
      <c r="E513" s="9" t="n"/>
      <c r="F513" s="9" t="n"/>
      <c r="G513" s="9" t="n"/>
      <c r="H513" s="24" t="n"/>
      <c r="I513" s="9" t="n"/>
      <c r="J513" s="24" t="n"/>
      <c r="K513" s="24" t="n"/>
      <c r="L513" s="24">
        <f>IF($H513="","",ROUND($H513*$J513-N($K513),2))</f>
        <v/>
      </c>
      <c r="M513" s="31" t="n"/>
      <c r="N513" s="24">
        <f>IF(OR($L513="",$M513=""),"",ROUND($L513-$L513/(1+$M513/100),2))</f>
        <v/>
      </c>
      <c r="O513" s="9" t="n"/>
      <c r="P513" s="9" t="n"/>
      <c r="Q513" s="9" t="n"/>
      <c r="R513" s="9" t="n"/>
      <c r="S513" s="9" t="n"/>
    </row>
    <row r="514">
      <c r="A514" s="9" t="n"/>
      <c r="B514" s="9" t="n"/>
      <c r="C514" s="30" t="n"/>
      <c r="D514" s="9">
        <f>IF($C514="","",YEAR($C514)&amp;"-"&amp;TEXT(MONTH($C514),"00"))</f>
        <v/>
      </c>
      <c r="E514" s="9" t="n"/>
      <c r="F514" s="9" t="n"/>
      <c r="G514" s="9" t="n"/>
      <c r="H514" s="24" t="n"/>
      <c r="I514" s="9" t="n"/>
      <c r="J514" s="24" t="n"/>
      <c r="K514" s="24" t="n"/>
      <c r="L514" s="24">
        <f>IF($H514="","",ROUND($H514*$J514-N($K514),2))</f>
        <v/>
      </c>
      <c r="M514" s="31" t="n"/>
      <c r="N514" s="24">
        <f>IF(OR($L514="",$M514=""),"",ROUND($L514-$L514/(1+$M514/100),2))</f>
        <v/>
      </c>
      <c r="O514" s="9" t="n"/>
      <c r="P514" s="9" t="n"/>
      <c r="Q514" s="9" t="n"/>
      <c r="R514" s="9" t="n"/>
      <c r="S514" s="9" t="n"/>
    </row>
    <row r="515">
      <c r="A515" s="9" t="n"/>
      <c r="B515" s="9" t="n"/>
      <c r="C515" s="30" t="n"/>
      <c r="D515" s="9">
        <f>IF($C515="","",YEAR($C515)&amp;"-"&amp;TEXT(MONTH($C515),"00"))</f>
        <v/>
      </c>
      <c r="E515" s="9" t="n"/>
      <c r="F515" s="9" t="n"/>
      <c r="G515" s="9" t="n"/>
      <c r="H515" s="24" t="n"/>
      <c r="I515" s="9" t="n"/>
      <c r="J515" s="24" t="n"/>
      <c r="K515" s="24" t="n"/>
      <c r="L515" s="24">
        <f>IF($H515="","",ROUND($H515*$J515-N($K515),2))</f>
        <v/>
      </c>
      <c r="M515" s="31" t="n"/>
      <c r="N515" s="24">
        <f>IF(OR($L515="",$M515=""),"",ROUND($L515-$L515/(1+$M515/100),2))</f>
        <v/>
      </c>
      <c r="O515" s="9" t="n"/>
      <c r="P515" s="9" t="n"/>
      <c r="Q515" s="9" t="n"/>
      <c r="R515" s="9" t="n"/>
      <c r="S515" s="9" t="n"/>
    </row>
    <row r="516">
      <c r="A516" s="9" t="n"/>
      <c r="B516" s="9" t="n"/>
      <c r="C516" s="30" t="n"/>
      <c r="D516" s="9">
        <f>IF($C516="","",YEAR($C516)&amp;"-"&amp;TEXT(MONTH($C516),"00"))</f>
        <v/>
      </c>
      <c r="E516" s="9" t="n"/>
      <c r="F516" s="9" t="n"/>
      <c r="G516" s="9" t="n"/>
      <c r="H516" s="24" t="n"/>
      <c r="I516" s="9" t="n"/>
      <c r="J516" s="24" t="n"/>
      <c r="K516" s="24" t="n"/>
      <c r="L516" s="24">
        <f>IF($H516="","",ROUND($H516*$J516-N($K516),2))</f>
        <v/>
      </c>
      <c r="M516" s="31" t="n"/>
      <c r="N516" s="24">
        <f>IF(OR($L516="",$M516=""),"",ROUND($L516-$L516/(1+$M516/100),2))</f>
        <v/>
      </c>
      <c r="O516" s="9" t="n"/>
      <c r="P516" s="9" t="n"/>
      <c r="Q516" s="9" t="n"/>
      <c r="R516" s="9" t="n"/>
      <c r="S516" s="9" t="n"/>
    </row>
    <row r="517">
      <c r="A517" s="9" t="n"/>
      <c r="B517" s="9" t="n"/>
      <c r="C517" s="30" t="n"/>
      <c r="D517" s="9">
        <f>IF($C517="","",YEAR($C517)&amp;"-"&amp;TEXT(MONTH($C517),"00"))</f>
        <v/>
      </c>
      <c r="E517" s="9" t="n"/>
      <c r="F517" s="9" t="n"/>
      <c r="G517" s="9" t="n"/>
      <c r="H517" s="24" t="n"/>
      <c r="I517" s="9" t="n"/>
      <c r="J517" s="24" t="n"/>
      <c r="K517" s="24" t="n"/>
      <c r="L517" s="24">
        <f>IF($H517="","",ROUND($H517*$J517-N($K517),2))</f>
        <v/>
      </c>
      <c r="M517" s="31" t="n"/>
      <c r="N517" s="24">
        <f>IF(OR($L517="",$M517=""),"",ROUND($L517-$L517/(1+$M517/100),2))</f>
        <v/>
      </c>
      <c r="O517" s="9" t="n"/>
      <c r="P517" s="9" t="n"/>
      <c r="Q517" s="9" t="n"/>
      <c r="R517" s="9" t="n"/>
      <c r="S517" s="9" t="n"/>
    </row>
    <row r="518">
      <c r="A518" s="9" t="n"/>
      <c r="B518" s="9" t="n"/>
      <c r="C518" s="30" t="n"/>
      <c r="D518" s="9">
        <f>IF($C518="","",YEAR($C518)&amp;"-"&amp;TEXT(MONTH($C518),"00"))</f>
        <v/>
      </c>
      <c r="E518" s="9" t="n"/>
      <c r="F518" s="9" t="n"/>
      <c r="G518" s="9" t="n"/>
      <c r="H518" s="24" t="n"/>
      <c r="I518" s="9" t="n"/>
      <c r="J518" s="24" t="n"/>
      <c r="K518" s="24" t="n"/>
      <c r="L518" s="24">
        <f>IF($H518="","",ROUND($H518*$J518-N($K518),2))</f>
        <v/>
      </c>
      <c r="M518" s="31" t="n"/>
      <c r="N518" s="24">
        <f>IF(OR($L518="",$M518=""),"",ROUND($L518-$L518/(1+$M518/100),2))</f>
        <v/>
      </c>
      <c r="O518" s="9" t="n"/>
      <c r="P518" s="9" t="n"/>
      <c r="Q518" s="9" t="n"/>
      <c r="R518" s="9" t="n"/>
      <c r="S518" s="9" t="n"/>
    </row>
    <row r="519">
      <c r="A519" s="9" t="n"/>
      <c r="B519" s="9" t="n"/>
      <c r="C519" s="30" t="n"/>
      <c r="D519" s="9">
        <f>IF($C519="","",YEAR($C519)&amp;"-"&amp;TEXT(MONTH($C519),"00"))</f>
        <v/>
      </c>
      <c r="E519" s="9" t="n"/>
      <c r="F519" s="9" t="n"/>
      <c r="G519" s="9" t="n"/>
      <c r="H519" s="24" t="n"/>
      <c r="I519" s="9" t="n"/>
      <c r="J519" s="24" t="n"/>
      <c r="K519" s="24" t="n"/>
      <c r="L519" s="24">
        <f>IF($H519="","",ROUND($H519*$J519-N($K519),2))</f>
        <v/>
      </c>
      <c r="M519" s="31" t="n"/>
      <c r="N519" s="24">
        <f>IF(OR($L519="",$M519=""),"",ROUND($L519-$L519/(1+$M519/100),2))</f>
        <v/>
      </c>
      <c r="O519" s="9" t="n"/>
      <c r="P519" s="9" t="n"/>
      <c r="Q519" s="9" t="n"/>
      <c r="R519" s="9" t="n"/>
      <c r="S519" s="9" t="n"/>
    </row>
    <row r="520">
      <c r="A520" s="9" t="n"/>
      <c r="B520" s="9" t="n"/>
      <c r="C520" s="30" t="n"/>
      <c r="D520" s="9">
        <f>IF($C520="","",YEAR($C520)&amp;"-"&amp;TEXT(MONTH($C520),"00"))</f>
        <v/>
      </c>
      <c r="E520" s="9" t="n"/>
      <c r="F520" s="9" t="n"/>
      <c r="G520" s="9" t="n"/>
      <c r="H520" s="24" t="n"/>
      <c r="I520" s="9" t="n"/>
      <c r="J520" s="24" t="n"/>
      <c r="K520" s="24" t="n"/>
      <c r="L520" s="24">
        <f>IF($H520="","",ROUND($H520*$J520-N($K520),2))</f>
        <v/>
      </c>
      <c r="M520" s="31" t="n"/>
      <c r="N520" s="24">
        <f>IF(OR($L520="",$M520=""),"",ROUND($L520-$L520/(1+$M520/100),2))</f>
        <v/>
      </c>
      <c r="O520" s="9" t="n"/>
      <c r="P520" s="9" t="n"/>
      <c r="Q520" s="9" t="n"/>
      <c r="R520" s="9" t="n"/>
      <c r="S520" s="9" t="n"/>
    </row>
    <row r="521">
      <c r="A521" s="9" t="n"/>
      <c r="B521" s="9" t="n"/>
      <c r="C521" s="30" t="n"/>
      <c r="D521" s="9">
        <f>IF($C521="","",YEAR($C521)&amp;"-"&amp;TEXT(MONTH($C521),"00"))</f>
        <v/>
      </c>
      <c r="E521" s="9" t="n"/>
      <c r="F521" s="9" t="n"/>
      <c r="G521" s="9" t="n"/>
      <c r="H521" s="24" t="n"/>
      <c r="I521" s="9" t="n"/>
      <c r="J521" s="24" t="n"/>
      <c r="K521" s="24" t="n"/>
      <c r="L521" s="24">
        <f>IF($H521="","",ROUND($H521*$J521-N($K521),2))</f>
        <v/>
      </c>
      <c r="M521" s="31" t="n"/>
      <c r="N521" s="24">
        <f>IF(OR($L521="",$M521=""),"",ROUND($L521-$L521/(1+$M521/100),2))</f>
        <v/>
      </c>
      <c r="O521" s="9" t="n"/>
      <c r="P521" s="9" t="n"/>
      <c r="Q521" s="9" t="n"/>
      <c r="R521" s="9" t="n"/>
      <c r="S521" s="9" t="n"/>
    </row>
    <row r="522">
      <c r="A522" s="9" t="n"/>
      <c r="B522" s="9" t="n"/>
      <c r="C522" s="30" t="n"/>
      <c r="D522" s="9">
        <f>IF($C522="","",YEAR($C522)&amp;"-"&amp;TEXT(MONTH($C522),"00"))</f>
        <v/>
      </c>
      <c r="E522" s="9" t="n"/>
      <c r="F522" s="9" t="n"/>
      <c r="G522" s="9" t="n"/>
      <c r="H522" s="24" t="n"/>
      <c r="I522" s="9" t="n"/>
      <c r="J522" s="24" t="n"/>
      <c r="K522" s="24" t="n"/>
      <c r="L522" s="24">
        <f>IF($H522="","",ROUND($H522*$J522-N($K522),2))</f>
        <v/>
      </c>
      <c r="M522" s="31" t="n"/>
      <c r="N522" s="24">
        <f>IF(OR($L522="",$M522=""),"",ROUND($L522-$L522/(1+$M522/100),2))</f>
        <v/>
      </c>
      <c r="O522" s="9" t="n"/>
      <c r="P522" s="9" t="n"/>
      <c r="Q522" s="9" t="n"/>
      <c r="R522" s="9" t="n"/>
      <c r="S522" s="9" t="n"/>
    </row>
    <row r="523">
      <c r="A523" s="9" t="n"/>
      <c r="B523" s="9" t="n"/>
      <c r="C523" s="30" t="n"/>
      <c r="D523" s="9">
        <f>IF($C523="","",YEAR($C523)&amp;"-"&amp;TEXT(MONTH($C523),"00"))</f>
        <v/>
      </c>
      <c r="E523" s="9" t="n"/>
      <c r="F523" s="9" t="n"/>
      <c r="G523" s="9" t="n"/>
      <c r="H523" s="24" t="n"/>
      <c r="I523" s="9" t="n"/>
      <c r="J523" s="24" t="n"/>
      <c r="K523" s="24" t="n"/>
      <c r="L523" s="24">
        <f>IF($H523="","",ROUND($H523*$J523-N($K523),2))</f>
        <v/>
      </c>
      <c r="M523" s="31" t="n"/>
      <c r="N523" s="24">
        <f>IF(OR($L523="",$M523=""),"",ROUND($L523-$L523/(1+$M523/100),2))</f>
        <v/>
      </c>
      <c r="O523" s="9" t="n"/>
      <c r="P523" s="9" t="n"/>
      <c r="Q523" s="9" t="n"/>
      <c r="R523" s="9" t="n"/>
      <c r="S523" s="9" t="n"/>
    </row>
    <row r="524">
      <c r="A524" s="9" t="n"/>
      <c r="B524" s="9" t="n"/>
      <c r="C524" s="30" t="n"/>
      <c r="D524" s="9">
        <f>IF($C524="","",YEAR($C524)&amp;"-"&amp;TEXT(MONTH($C524),"00"))</f>
        <v/>
      </c>
      <c r="E524" s="9" t="n"/>
      <c r="F524" s="9" t="n"/>
      <c r="G524" s="9" t="n"/>
      <c r="H524" s="24" t="n"/>
      <c r="I524" s="9" t="n"/>
      <c r="J524" s="24" t="n"/>
      <c r="K524" s="24" t="n"/>
      <c r="L524" s="24">
        <f>IF($H524="","",ROUND($H524*$J524-N($K524),2))</f>
        <v/>
      </c>
      <c r="M524" s="31" t="n"/>
      <c r="N524" s="24">
        <f>IF(OR($L524="",$M524=""),"",ROUND($L524-$L524/(1+$M524/100),2))</f>
        <v/>
      </c>
      <c r="O524" s="9" t="n"/>
      <c r="P524" s="9" t="n"/>
      <c r="Q524" s="9" t="n"/>
      <c r="R524" s="9" t="n"/>
      <c r="S524" s="9" t="n"/>
    </row>
    <row r="525">
      <c r="A525" s="9" t="n"/>
      <c r="B525" s="9" t="n"/>
      <c r="C525" s="30" t="n"/>
      <c r="D525" s="9">
        <f>IF($C525="","",YEAR($C525)&amp;"-"&amp;TEXT(MONTH($C525),"00"))</f>
        <v/>
      </c>
      <c r="E525" s="9" t="n"/>
      <c r="F525" s="9" t="n"/>
      <c r="G525" s="9" t="n"/>
      <c r="H525" s="24" t="n"/>
      <c r="I525" s="9" t="n"/>
      <c r="J525" s="24" t="n"/>
      <c r="K525" s="24" t="n"/>
      <c r="L525" s="24">
        <f>IF($H525="","",ROUND($H525*$J525-N($K525),2))</f>
        <v/>
      </c>
      <c r="M525" s="31" t="n"/>
      <c r="N525" s="24">
        <f>IF(OR($L525="",$M525=""),"",ROUND($L525-$L525/(1+$M525/100),2))</f>
        <v/>
      </c>
      <c r="O525" s="9" t="n"/>
      <c r="P525" s="9" t="n"/>
      <c r="Q525" s="9" t="n"/>
      <c r="R525" s="9" t="n"/>
      <c r="S525" s="9" t="n"/>
    </row>
    <row r="526">
      <c r="A526" s="9" t="n"/>
      <c r="B526" s="9" t="n"/>
      <c r="C526" s="30" t="n"/>
      <c r="D526" s="9">
        <f>IF($C526="","",YEAR($C526)&amp;"-"&amp;TEXT(MONTH($C526),"00"))</f>
        <v/>
      </c>
      <c r="E526" s="9" t="n"/>
      <c r="F526" s="9" t="n"/>
      <c r="G526" s="9" t="n"/>
      <c r="H526" s="24" t="n"/>
      <c r="I526" s="9" t="n"/>
      <c r="J526" s="24" t="n"/>
      <c r="K526" s="24" t="n"/>
      <c r="L526" s="24">
        <f>IF($H526="","",ROUND($H526*$J526-N($K526),2))</f>
        <v/>
      </c>
      <c r="M526" s="31" t="n"/>
      <c r="N526" s="24">
        <f>IF(OR($L526="",$M526=""),"",ROUND($L526-$L526/(1+$M526/100),2))</f>
        <v/>
      </c>
      <c r="O526" s="9" t="n"/>
      <c r="P526" s="9" t="n"/>
      <c r="Q526" s="9" t="n"/>
      <c r="R526" s="9" t="n"/>
      <c r="S526" s="9" t="n"/>
    </row>
    <row r="527">
      <c r="A527" s="9" t="n"/>
      <c r="B527" s="9" t="n"/>
      <c r="C527" s="30" t="n"/>
      <c r="D527" s="9">
        <f>IF($C527="","",YEAR($C527)&amp;"-"&amp;TEXT(MONTH($C527),"00"))</f>
        <v/>
      </c>
      <c r="E527" s="9" t="n"/>
      <c r="F527" s="9" t="n"/>
      <c r="G527" s="9" t="n"/>
      <c r="H527" s="24" t="n"/>
      <c r="I527" s="9" t="n"/>
      <c r="J527" s="24" t="n"/>
      <c r="K527" s="24" t="n"/>
      <c r="L527" s="24">
        <f>IF($H527="","",ROUND($H527*$J527-N($K527),2))</f>
        <v/>
      </c>
      <c r="M527" s="31" t="n"/>
      <c r="N527" s="24">
        <f>IF(OR($L527="",$M527=""),"",ROUND($L527-$L527/(1+$M527/100),2))</f>
        <v/>
      </c>
      <c r="O527" s="9" t="n"/>
      <c r="P527" s="9" t="n"/>
      <c r="Q527" s="9" t="n"/>
      <c r="R527" s="9" t="n"/>
      <c r="S527" s="9" t="n"/>
    </row>
    <row r="528">
      <c r="A528" s="9" t="n"/>
      <c r="B528" s="9" t="n"/>
      <c r="C528" s="30" t="n"/>
      <c r="D528" s="9">
        <f>IF($C528="","",YEAR($C528)&amp;"-"&amp;TEXT(MONTH($C528),"00"))</f>
        <v/>
      </c>
      <c r="E528" s="9" t="n"/>
      <c r="F528" s="9" t="n"/>
      <c r="G528" s="9" t="n"/>
      <c r="H528" s="24" t="n"/>
      <c r="I528" s="9" t="n"/>
      <c r="J528" s="24" t="n"/>
      <c r="K528" s="24" t="n"/>
      <c r="L528" s="24">
        <f>IF($H528="","",ROUND($H528*$J528-N($K528),2))</f>
        <v/>
      </c>
      <c r="M528" s="31" t="n"/>
      <c r="N528" s="24">
        <f>IF(OR($L528="",$M528=""),"",ROUND($L528-$L528/(1+$M528/100),2))</f>
        <v/>
      </c>
      <c r="O528" s="9" t="n"/>
      <c r="P528" s="9" t="n"/>
      <c r="Q528" s="9" t="n"/>
      <c r="R528" s="9" t="n"/>
      <c r="S528" s="9" t="n"/>
    </row>
    <row r="529">
      <c r="A529" s="9" t="n"/>
      <c r="B529" s="9" t="n"/>
      <c r="C529" s="30" t="n"/>
      <c r="D529" s="9">
        <f>IF($C529="","",YEAR($C529)&amp;"-"&amp;TEXT(MONTH($C529),"00"))</f>
        <v/>
      </c>
      <c r="E529" s="9" t="n"/>
      <c r="F529" s="9" t="n"/>
      <c r="G529" s="9" t="n"/>
      <c r="H529" s="24" t="n"/>
      <c r="I529" s="9" t="n"/>
      <c r="J529" s="24" t="n"/>
      <c r="K529" s="24" t="n"/>
      <c r="L529" s="24">
        <f>IF($H529="","",ROUND($H529*$J529-N($K529),2))</f>
        <v/>
      </c>
      <c r="M529" s="31" t="n"/>
      <c r="N529" s="24">
        <f>IF(OR($L529="",$M529=""),"",ROUND($L529-$L529/(1+$M529/100),2))</f>
        <v/>
      </c>
      <c r="O529" s="9" t="n"/>
      <c r="P529" s="9" t="n"/>
      <c r="Q529" s="9" t="n"/>
      <c r="R529" s="9" t="n"/>
      <c r="S529" s="9" t="n"/>
    </row>
    <row r="530">
      <c r="A530" s="9" t="n"/>
      <c r="B530" s="9" t="n"/>
      <c r="C530" s="30" t="n"/>
      <c r="D530" s="9">
        <f>IF($C530="","",YEAR($C530)&amp;"-"&amp;TEXT(MONTH($C530),"00"))</f>
        <v/>
      </c>
      <c r="E530" s="9" t="n"/>
      <c r="F530" s="9" t="n"/>
      <c r="G530" s="9" t="n"/>
      <c r="H530" s="24" t="n"/>
      <c r="I530" s="9" t="n"/>
      <c r="J530" s="24" t="n"/>
      <c r="K530" s="24" t="n"/>
      <c r="L530" s="24">
        <f>IF($H530="","",ROUND($H530*$J530-N($K530),2))</f>
        <v/>
      </c>
      <c r="M530" s="31" t="n"/>
      <c r="N530" s="24">
        <f>IF(OR($L530="",$M530=""),"",ROUND($L530-$L530/(1+$M530/100),2))</f>
        <v/>
      </c>
      <c r="O530" s="9" t="n"/>
      <c r="P530" s="9" t="n"/>
      <c r="Q530" s="9" t="n"/>
      <c r="R530" s="9" t="n"/>
      <c r="S530" s="9" t="n"/>
    </row>
    <row r="531">
      <c r="A531" s="9" t="n"/>
      <c r="B531" s="9" t="n"/>
      <c r="C531" s="30" t="n"/>
      <c r="D531" s="9">
        <f>IF($C531="","",YEAR($C531)&amp;"-"&amp;TEXT(MONTH($C531),"00"))</f>
        <v/>
      </c>
      <c r="E531" s="9" t="n"/>
      <c r="F531" s="9" t="n"/>
      <c r="G531" s="9" t="n"/>
      <c r="H531" s="24" t="n"/>
      <c r="I531" s="9" t="n"/>
      <c r="J531" s="24" t="n"/>
      <c r="K531" s="24" t="n"/>
      <c r="L531" s="24">
        <f>IF($H531="","",ROUND($H531*$J531-N($K531),2))</f>
        <v/>
      </c>
      <c r="M531" s="31" t="n"/>
      <c r="N531" s="24">
        <f>IF(OR($L531="",$M531=""),"",ROUND($L531-$L531/(1+$M531/100),2))</f>
        <v/>
      </c>
      <c r="O531" s="9" t="n"/>
      <c r="P531" s="9" t="n"/>
      <c r="Q531" s="9" t="n"/>
      <c r="R531" s="9" t="n"/>
      <c r="S531" s="9" t="n"/>
    </row>
    <row r="532">
      <c r="A532" s="9" t="n"/>
      <c r="B532" s="9" t="n"/>
      <c r="C532" s="30" t="n"/>
      <c r="D532" s="9">
        <f>IF($C532="","",YEAR($C532)&amp;"-"&amp;TEXT(MONTH($C532),"00"))</f>
        <v/>
      </c>
      <c r="E532" s="9" t="n"/>
      <c r="F532" s="9" t="n"/>
      <c r="G532" s="9" t="n"/>
      <c r="H532" s="24" t="n"/>
      <c r="I532" s="9" t="n"/>
      <c r="J532" s="24" t="n"/>
      <c r="K532" s="24" t="n"/>
      <c r="L532" s="24">
        <f>IF($H532="","",ROUND($H532*$J532-N($K532),2))</f>
        <v/>
      </c>
      <c r="M532" s="31" t="n"/>
      <c r="N532" s="24">
        <f>IF(OR($L532="",$M532=""),"",ROUND($L532-$L532/(1+$M532/100),2))</f>
        <v/>
      </c>
      <c r="O532" s="9" t="n"/>
      <c r="P532" s="9" t="n"/>
      <c r="Q532" s="9" t="n"/>
      <c r="R532" s="9" t="n"/>
      <c r="S532" s="9" t="n"/>
    </row>
    <row r="533">
      <c r="A533" s="9" t="n"/>
      <c r="B533" s="9" t="n"/>
      <c r="C533" s="30" t="n"/>
      <c r="D533" s="9">
        <f>IF($C533="","",YEAR($C533)&amp;"-"&amp;TEXT(MONTH($C533),"00"))</f>
        <v/>
      </c>
      <c r="E533" s="9" t="n"/>
      <c r="F533" s="9" t="n"/>
      <c r="G533" s="9" t="n"/>
      <c r="H533" s="24" t="n"/>
      <c r="I533" s="9" t="n"/>
      <c r="J533" s="24" t="n"/>
      <c r="K533" s="24" t="n"/>
      <c r="L533" s="24">
        <f>IF($H533="","",ROUND($H533*$J533-N($K533),2))</f>
        <v/>
      </c>
      <c r="M533" s="31" t="n"/>
      <c r="N533" s="24">
        <f>IF(OR($L533="",$M533=""),"",ROUND($L533-$L533/(1+$M533/100),2))</f>
        <v/>
      </c>
      <c r="O533" s="9" t="n"/>
      <c r="P533" s="9" t="n"/>
      <c r="Q533" s="9" t="n"/>
      <c r="R533" s="9" t="n"/>
      <c r="S533" s="9" t="n"/>
    </row>
    <row r="534">
      <c r="A534" s="9" t="n"/>
      <c r="B534" s="9" t="n"/>
      <c r="C534" s="30" t="n"/>
      <c r="D534" s="9">
        <f>IF($C534="","",YEAR($C534)&amp;"-"&amp;TEXT(MONTH($C534),"00"))</f>
        <v/>
      </c>
      <c r="E534" s="9" t="n"/>
      <c r="F534" s="9" t="n"/>
      <c r="G534" s="9" t="n"/>
      <c r="H534" s="24" t="n"/>
      <c r="I534" s="9" t="n"/>
      <c r="J534" s="24" t="n"/>
      <c r="K534" s="24" t="n"/>
      <c r="L534" s="24">
        <f>IF($H534="","",ROUND($H534*$J534-N($K534),2))</f>
        <v/>
      </c>
      <c r="M534" s="31" t="n"/>
      <c r="N534" s="24">
        <f>IF(OR($L534="",$M534=""),"",ROUND($L534-$L534/(1+$M534/100),2))</f>
        <v/>
      </c>
      <c r="O534" s="9" t="n"/>
      <c r="P534" s="9" t="n"/>
      <c r="Q534" s="9" t="n"/>
      <c r="R534" s="9" t="n"/>
      <c r="S534" s="9" t="n"/>
    </row>
    <row r="535">
      <c r="A535" s="9" t="n"/>
      <c r="B535" s="9" t="n"/>
      <c r="C535" s="30" t="n"/>
      <c r="D535" s="9">
        <f>IF($C535="","",YEAR($C535)&amp;"-"&amp;TEXT(MONTH($C535),"00"))</f>
        <v/>
      </c>
      <c r="E535" s="9" t="n"/>
      <c r="F535" s="9" t="n"/>
      <c r="G535" s="9" t="n"/>
      <c r="H535" s="24" t="n"/>
      <c r="I535" s="9" t="n"/>
      <c r="J535" s="24" t="n"/>
      <c r="K535" s="24" t="n"/>
      <c r="L535" s="24">
        <f>IF($H535="","",ROUND($H535*$J535-N($K535),2))</f>
        <v/>
      </c>
      <c r="M535" s="31" t="n"/>
      <c r="N535" s="24">
        <f>IF(OR($L535="",$M535=""),"",ROUND($L535-$L535/(1+$M535/100),2))</f>
        <v/>
      </c>
      <c r="O535" s="9" t="n"/>
      <c r="P535" s="9" t="n"/>
      <c r="Q535" s="9" t="n"/>
      <c r="R535" s="9" t="n"/>
      <c r="S535" s="9" t="n"/>
    </row>
    <row r="536">
      <c r="A536" s="9" t="n"/>
      <c r="B536" s="9" t="n"/>
      <c r="C536" s="30" t="n"/>
      <c r="D536" s="9">
        <f>IF($C536="","",YEAR($C536)&amp;"-"&amp;TEXT(MONTH($C536),"00"))</f>
        <v/>
      </c>
      <c r="E536" s="9" t="n"/>
      <c r="F536" s="9" t="n"/>
      <c r="G536" s="9" t="n"/>
      <c r="H536" s="24" t="n"/>
      <c r="I536" s="9" t="n"/>
      <c r="J536" s="24" t="n"/>
      <c r="K536" s="24" t="n"/>
      <c r="L536" s="24">
        <f>IF($H536="","",ROUND($H536*$J536-N($K536),2))</f>
        <v/>
      </c>
      <c r="M536" s="31" t="n"/>
      <c r="N536" s="24">
        <f>IF(OR($L536="",$M536=""),"",ROUND($L536-$L536/(1+$M536/100),2))</f>
        <v/>
      </c>
      <c r="O536" s="9" t="n"/>
      <c r="P536" s="9" t="n"/>
      <c r="Q536" s="9" t="n"/>
      <c r="R536" s="9" t="n"/>
      <c r="S536" s="9" t="n"/>
    </row>
    <row r="537">
      <c r="A537" s="9" t="n"/>
      <c r="B537" s="9" t="n"/>
      <c r="C537" s="30" t="n"/>
      <c r="D537" s="9">
        <f>IF($C537="","",YEAR($C537)&amp;"-"&amp;TEXT(MONTH($C537),"00"))</f>
        <v/>
      </c>
      <c r="E537" s="9" t="n"/>
      <c r="F537" s="9" t="n"/>
      <c r="G537" s="9" t="n"/>
      <c r="H537" s="24" t="n"/>
      <c r="I537" s="9" t="n"/>
      <c r="J537" s="24" t="n"/>
      <c r="K537" s="24" t="n"/>
      <c r="L537" s="24">
        <f>IF($H537="","",ROUND($H537*$J537-N($K537),2))</f>
        <v/>
      </c>
      <c r="M537" s="31" t="n"/>
      <c r="N537" s="24">
        <f>IF(OR($L537="",$M537=""),"",ROUND($L537-$L537/(1+$M537/100),2))</f>
        <v/>
      </c>
      <c r="O537" s="9" t="n"/>
      <c r="P537" s="9" t="n"/>
      <c r="Q537" s="9" t="n"/>
      <c r="R537" s="9" t="n"/>
      <c r="S537" s="9" t="n"/>
    </row>
    <row r="538">
      <c r="A538" s="9" t="n"/>
      <c r="B538" s="9" t="n"/>
      <c r="C538" s="30" t="n"/>
      <c r="D538" s="9">
        <f>IF($C538="","",YEAR($C538)&amp;"-"&amp;TEXT(MONTH($C538),"00"))</f>
        <v/>
      </c>
      <c r="E538" s="9" t="n"/>
      <c r="F538" s="9" t="n"/>
      <c r="G538" s="9" t="n"/>
      <c r="H538" s="24" t="n"/>
      <c r="I538" s="9" t="n"/>
      <c r="J538" s="24" t="n"/>
      <c r="K538" s="24" t="n"/>
      <c r="L538" s="24">
        <f>IF($H538="","",ROUND($H538*$J538-N($K538),2))</f>
        <v/>
      </c>
      <c r="M538" s="31" t="n"/>
      <c r="N538" s="24">
        <f>IF(OR($L538="",$M538=""),"",ROUND($L538-$L538/(1+$M538/100),2))</f>
        <v/>
      </c>
      <c r="O538" s="9" t="n"/>
      <c r="P538" s="9" t="n"/>
      <c r="Q538" s="9" t="n"/>
      <c r="R538" s="9" t="n"/>
      <c r="S538" s="9" t="n"/>
    </row>
    <row r="539">
      <c r="A539" s="9" t="n"/>
      <c r="B539" s="9" t="n"/>
      <c r="C539" s="30" t="n"/>
      <c r="D539" s="9">
        <f>IF($C539="","",YEAR($C539)&amp;"-"&amp;TEXT(MONTH($C539),"00"))</f>
        <v/>
      </c>
      <c r="E539" s="9" t="n"/>
      <c r="F539" s="9" t="n"/>
      <c r="G539" s="9" t="n"/>
      <c r="H539" s="24" t="n"/>
      <c r="I539" s="9" t="n"/>
      <c r="J539" s="24" t="n"/>
      <c r="K539" s="24" t="n"/>
      <c r="L539" s="24">
        <f>IF($H539="","",ROUND($H539*$J539-N($K539),2))</f>
        <v/>
      </c>
      <c r="M539" s="31" t="n"/>
      <c r="N539" s="24">
        <f>IF(OR($L539="",$M539=""),"",ROUND($L539-$L539/(1+$M539/100),2))</f>
        <v/>
      </c>
      <c r="O539" s="9" t="n"/>
      <c r="P539" s="9" t="n"/>
      <c r="Q539" s="9" t="n"/>
      <c r="R539" s="9" t="n"/>
      <c r="S539" s="9" t="n"/>
    </row>
    <row r="540">
      <c r="A540" s="9" t="n"/>
      <c r="B540" s="9" t="n"/>
      <c r="C540" s="30" t="n"/>
      <c r="D540" s="9">
        <f>IF($C540="","",YEAR($C540)&amp;"-"&amp;TEXT(MONTH($C540),"00"))</f>
        <v/>
      </c>
      <c r="E540" s="9" t="n"/>
      <c r="F540" s="9" t="n"/>
      <c r="G540" s="9" t="n"/>
      <c r="H540" s="24" t="n"/>
      <c r="I540" s="9" t="n"/>
      <c r="J540" s="24" t="n"/>
      <c r="K540" s="24" t="n"/>
      <c r="L540" s="24">
        <f>IF($H540="","",ROUND($H540*$J540-N($K540),2))</f>
        <v/>
      </c>
      <c r="M540" s="31" t="n"/>
      <c r="N540" s="24">
        <f>IF(OR($L540="",$M540=""),"",ROUND($L540-$L540/(1+$M540/100),2))</f>
        <v/>
      </c>
      <c r="O540" s="9" t="n"/>
      <c r="P540" s="9" t="n"/>
      <c r="Q540" s="9" t="n"/>
      <c r="R540" s="9" t="n"/>
      <c r="S540" s="9" t="n"/>
    </row>
    <row r="541">
      <c r="A541" s="9" t="n"/>
      <c r="B541" s="9" t="n"/>
      <c r="C541" s="30" t="n"/>
      <c r="D541" s="9">
        <f>IF($C541="","",YEAR($C541)&amp;"-"&amp;TEXT(MONTH($C541),"00"))</f>
        <v/>
      </c>
      <c r="E541" s="9" t="n"/>
      <c r="F541" s="9" t="n"/>
      <c r="G541" s="9" t="n"/>
      <c r="H541" s="24" t="n"/>
      <c r="I541" s="9" t="n"/>
      <c r="J541" s="24" t="n"/>
      <c r="K541" s="24" t="n"/>
      <c r="L541" s="24">
        <f>IF($H541="","",ROUND($H541*$J541-N($K541),2))</f>
        <v/>
      </c>
      <c r="M541" s="31" t="n"/>
      <c r="N541" s="24">
        <f>IF(OR($L541="",$M541=""),"",ROUND($L541-$L541/(1+$M541/100),2))</f>
        <v/>
      </c>
      <c r="O541" s="9" t="n"/>
      <c r="P541" s="9" t="n"/>
      <c r="Q541" s="9" t="n"/>
      <c r="R541" s="9" t="n"/>
      <c r="S541" s="9" t="n"/>
    </row>
    <row r="542">
      <c r="A542" s="9" t="n"/>
      <c r="B542" s="9" t="n"/>
      <c r="C542" s="30" t="n"/>
      <c r="D542" s="9">
        <f>IF($C542="","",YEAR($C542)&amp;"-"&amp;TEXT(MONTH($C542),"00"))</f>
        <v/>
      </c>
      <c r="E542" s="9" t="n"/>
      <c r="F542" s="9" t="n"/>
      <c r="G542" s="9" t="n"/>
      <c r="H542" s="24" t="n"/>
      <c r="I542" s="9" t="n"/>
      <c r="J542" s="24" t="n"/>
      <c r="K542" s="24" t="n"/>
      <c r="L542" s="24">
        <f>IF($H542="","",ROUND($H542*$J542-N($K542),2))</f>
        <v/>
      </c>
      <c r="M542" s="31" t="n"/>
      <c r="N542" s="24">
        <f>IF(OR($L542="",$M542=""),"",ROUND($L542-$L542/(1+$M542/100),2))</f>
        <v/>
      </c>
      <c r="O542" s="9" t="n"/>
      <c r="P542" s="9" t="n"/>
      <c r="Q542" s="9" t="n"/>
      <c r="R542" s="9" t="n"/>
      <c r="S542" s="9" t="n"/>
    </row>
    <row r="543">
      <c r="A543" s="9" t="n"/>
      <c r="B543" s="9" t="n"/>
      <c r="C543" s="30" t="n"/>
      <c r="D543" s="9">
        <f>IF($C543="","",YEAR($C543)&amp;"-"&amp;TEXT(MONTH($C543),"00"))</f>
        <v/>
      </c>
      <c r="E543" s="9" t="n"/>
      <c r="F543" s="9" t="n"/>
      <c r="G543" s="9" t="n"/>
      <c r="H543" s="24" t="n"/>
      <c r="I543" s="9" t="n"/>
      <c r="J543" s="24" t="n"/>
      <c r="K543" s="24" t="n"/>
      <c r="L543" s="24">
        <f>IF($H543="","",ROUND($H543*$J543-N($K543),2))</f>
        <v/>
      </c>
      <c r="M543" s="31" t="n"/>
      <c r="N543" s="24">
        <f>IF(OR($L543="",$M543=""),"",ROUND($L543-$L543/(1+$M543/100),2))</f>
        <v/>
      </c>
      <c r="O543" s="9" t="n"/>
      <c r="P543" s="9" t="n"/>
      <c r="Q543" s="9" t="n"/>
      <c r="R543" s="9" t="n"/>
      <c r="S543" s="9" t="n"/>
    </row>
    <row r="544">
      <c r="A544" s="9" t="n"/>
      <c r="B544" s="9" t="n"/>
      <c r="C544" s="30" t="n"/>
      <c r="D544" s="9">
        <f>IF($C544="","",YEAR($C544)&amp;"-"&amp;TEXT(MONTH($C544),"00"))</f>
        <v/>
      </c>
      <c r="E544" s="9" t="n"/>
      <c r="F544" s="9" t="n"/>
      <c r="G544" s="9" t="n"/>
      <c r="H544" s="24" t="n"/>
      <c r="I544" s="9" t="n"/>
      <c r="J544" s="24" t="n"/>
      <c r="K544" s="24" t="n"/>
      <c r="L544" s="24">
        <f>IF($H544="","",ROUND($H544*$J544-N($K544),2))</f>
        <v/>
      </c>
      <c r="M544" s="31" t="n"/>
      <c r="N544" s="24">
        <f>IF(OR($L544="",$M544=""),"",ROUND($L544-$L544/(1+$M544/100),2))</f>
        <v/>
      </c>
      <c r="O544" s="9" t="n"/>
      <c r="P544" s="9" t="n"/>
      <c r="Q544" s="9" t="n"/>
      <c r="R544" s="9" t="n"/>
      <c r="S544" s="9" t="n"/>
    </row>
    <row r="545">
      <c r="A545" s="9" t="n"/>
      <c r="B545" s="9" t="n"/>
      <c r="C545" s="30" t="n"/>
      <c r="D545" s="9">
        <f>IF($C545="","",YEAR($C545)&amp;"-"&amp;TEXT(MONTH($C545),"00"))</f>
        <v/>
      </c>
      <c r="E545" s="9" t="n"/>
      <c r="F545" s="9" t="n"/>
      <c r="G545" s="9" t="n"/>
      <c r="H545" s="24" t="n"/>
      <c r="I545" s="9" t="n"/>
      <c r="J545" s="24" t="n"/>
      <c r="K545" s="24" t="n"/>
      <c r="L545" s="24">
        <f>IF($H545="","",ROUND($H545*$J545-N($K545),2))</f>
        <v/>
      </c>
      <c r="M545" s="31" t="n"/>
      <c r="N545" s="24">
        <f>IF(OR($L545="",$M545=""),"",ROUND($L545-$L545/(1+$M545/100),2))</f>
        <v/>
      </c>
      <c r="O545" s="9" t="n"/>
      <c r="P545" s="9" t="n"/>
      <c r="Q545" s="9" t="n"/>
      <c r="R545" s="9" t="n"/>
      <c r="S545" s="9" t="n"/>
    </row>
    <row r="546">
      <c r="A546" s="9" t="n"/>
      <c r="B546" s="9" t="n"/>
      <c r="C546" s="30" t="n"/>
      <c r="D546" s="9">
        <f>IF($C546="","",YEAR($C546)&amp;"-"&amp;TEXT(MONTH($C546),"00"))</f>
        <v/>
      </c>
      <c r="E546" s="9" t="n"/>
      <c r="F546" s="9" t="n"/>
      <c r="G546" s="9" t="n"/>
      <c r="H546" s="24" t="n"/>
      <c r="I546" s="9" t="n"/>
      <c r="J546" s="24" t="n"/>
      <c r="K546" s="24" t="n"/>
      <c r="L546" s="24">
        <f>IF($H546="","",ROUND($H546*$J546-N($K546),2))</f>
        <v/>
      </c>
      <c r="M546" s="31" t="n"/>
      <c r="N546" s="24">
        <f>IF(OR($L546="",$M546=""),"",ROUND($L546-$L546/(1+$M546/100),2))</f>
        <v/>
      </c>
      <c r="O546" s="9" t="n"/>
      <c r="P546" s="9" t="n"/>
      <c r="Q546" s="9" t="n"/>
      <c r="R546" s="9" t="n"/>
      <c r="S546" s="9" t="n"/>
    </row>
    <row r="547">
      <c r="A547" s="9" t="n"/>
      <c r="B547" s="9" t="n"/>
      <c r="C547" s="30" t="n"/>
      <c r="D547" s="9">
        <f>IF($C547="","",YEAR($C547)&amp;"-"&amp;TEXT(MONTH($C547),"00"))</f>
        <v/>
      </c>
      <c r="E547" s="9" t="n"/>
      <c r="F547" s="9" t="n"/>
      <c r="G547" s="9" t="n"/>
      <c r="H547" s="24" t="n"/>
      <c r="I547" s="9" t="n"/>
      <c r="J547" s="24" t="n"/>
      <c r="K547" s="24" t="n"/>
      <c r="L547" s="24">
        <f>IF($H547="","",ROUND($H547*$J547-N($K547),2))</f>
        <v/>
      </c>
      <c r="M547" s="31" t="n"/>
      <c r="N547" s="24">
        <f>IF(OR($L547="",$M547=""),"",ROUND($L547-$L547/(1+$M547/100),2))</f>
        <v/>
      </c>
      <c r="O547" s="9" t="n"/>
      <c r="P547" s="9" t="n"/>
      <c r="Q547" s="9" t="n"/>
      <c r="R547" s="9" t="n"/>
      <c r="S547" s="9" t="n"/>
    </row>
    <row r="548">
      <c r="A548" s="9" t="n"/>
      <c r="B548" s="9" t="n"/>
      <c r="C548" s="30" t="n"/>
      <c r="D548" s="9">
        <f>IF($C548="","",YEAR($C548)&amp;"-"&amp;TEXT(MONTH($C548),"00"))</f>
        <v/>
      </c>
      <c r="E548" s="9" t="n"/>
      <c r="F548" s="9" t="n"/>
      <c r="G548" s="9" t="n"/>
      <c r="H548" s="24" t="n"/>
      <c r="I548" s="9" t="n"/>
      <c r="J548" s="24" t="n"/>
      <c r="K548" s="24" t="n"/>
      <c r="L548" s="24">
        <f>IF($H548="","",ROUND($H548*$J548-N($K548),2))</f>
        <v/>
      </c>
      <c r="M548" s="31" t="n"/>
      <c r="N548" s="24">
        <f>IF(OR($L548="",$M548=""),"",ROUND($L548-$L548/(1+$M548/100),2))</f>
        <v/>
      </c>
      <c r="O548" s="9" t="n"/>
      <c r="P548" s="9" t="n"/>
      <c r="Q548" s="9" t="n"/>
      <c r="R548" s="9" t="n"/>
      <c r="S548" s="9" t="n"/>
    </row>
    <row r="549">
      <c r="A549" s="9" t="n"/>
      <c r="B549" s="9" t="n"/>
      <c r="C549" s="30" t="n"/>
      <c r="D549" s="9">
        <f>IF($C549="","",YEAR($C549)&amp;"-"&amp;TEXT(MONTH($C549),"00"))</f>
        <v/>
      </c>
      <c r="E549" s="9" t="n"/>
      <c r="F549" s="9" t="n"/>
      <c r="G549" s="9" t="n"/>
      <c r="H549" s="24" t="n"/>
      <c r="I549" s="9" t="n"/>
      <c r="J549" s="24" t="n"/>
      <c r="K549" s="24" t="n"/>
      <c r="L549" s="24">
        <f>IF($H549="","",ROUND($H549*$J549-N($K549),2))</f>
        <v/>
      </c>
      <c r="M549" s="31" t="n"/>
      <c r="N549" s="24">
        <f>IF(OR($L549="",$M549=""),"",ROUND($L549-$L549/(1+$M549/100),2))</f>
        <v/>
      </c>
      <c r="O549" s="9" t="n"/>
      <c r="P549" s="9" t="n"/>
      <c r="Q549" s="9" t="n"/>
      <c r="R549" s="9" t="n"/>
      <c r="S549" s="9" t="n"/>
    </row>
    <row r="550">
      <c r="A550" s="9" t="n"/>
      <c r="B550" s="9" t="n"/>
      <c r="C550" s="30" t="n"/>
      <c r="D550" s="9">
        <f>IF($C550="","",YEAR($C550)&amp;"-"&amp;TEXT(MONTH($C550),"00"))</f>
        <v/>
      </c>
      <c r="E550" s="9" t="n"/>
      <c r="F550" s="9" t="n"/>
      <c r="G550" s="9" t="n"/>
      <c r="H550" s="24" t="n"/>
      <c r="I550" s="9" t="n"/>
      <c r="J550" s="24" t="n"/>
      <c r="K550" s="24" t="n"/>
      <c r="L550" s="24">
        <f>IF($H550="","",ROUND($H550*$J550-N($K550),2))</f>
        <v/>
      </c>
      <c r="M550" s="31" t="n"/>
      <c r="N550" s="24">
        <f>IF(OR($L550="",$M550=""),"",ROUND($L550-$L550/(1+$M550/100),2))</f>
        <v/>
      </c>
      <c r="O550" s="9" t="n"/>
      <c r="P550" s="9" t="n"/>
      <c r="Q550" s="9" t="n"/>
      <c r="R550" s="9" t="n"/>
      <c r="S550" s="9" t="n"/>
    </row>
    <row r="551">
      <c r="A551" s="9" t="n"/>
      <c r="B551" s="9" t="n"/>
      <c r="C551" s="30" t="n"/>
      <c r="D551" s="9">
        <f>IF($C551="","",YEAR($C551)&amp;"-"&amp;TEXT(MONTH($C551),"00"))</f>
        <v/>
      </c>
      <c r="E551" s="9" t="n"/>
      <c r="F551" s="9" t="n"/>
      <c r="G551" s="9" t="n"/>
      <c r="H551" s="24" t="n"/>
      <c r="I551" s="9" t="n"/>
      <c r="J551" s="24" t="n"/>
      <c r="K551" s="24" t="n"/>
      <c r="L551" s="24">
        <f>IF($H551="","",ROUND($H551*$J551-N($K551),2))</f>
        <v/>
      </c>
      <c r="M551" s="31" t="n"/>
      <c r="N551" s="24">
        <f>IF(OR($L551="",$M551=""),"",ROUND($L551-$L551/(1+$M551/100),2))</f>
        <v/>
      </c>
      <c r="O551" s="9" t="n"/>
      <c r="P551" s="9" t="n"/>
      <c r="Q551" s="9" t="n"/>
      <c r="R551" s="9" t="n"/>
      <c r="S551" s="9" t="n"/>
    </row>
    <row r="552">
      <c r="A552" s="9" t="n"/>
      <c r="B552" s="9" t="n"/>
      <c r="C552" s="30" t="n"/>
      <c r="D552" s="9">
        <f>IF($C552="","",YEAR($C552)&amp;"-"&amp;TEXT(MONTH($C552),"00"))</f>
        <v/>
      </c>
      <c r="E552" s="9" t="n"/>
      <c r="F552" s="9" t="n"/>
      <c r="G552" s="9" t="n"/>
      <c r="H552" s="24" t="n"/>
      <c r="I552" s="9" t="n"/>
      <c r="J552" s="24" t="n"/>
      <c r="K552" s="24" t="n"/>
      <c r="L552" s="24">
        <f>IF($H552="","",ROUND($H552*$J552-N($K552),2))</f>
        <v/>
      </c>
      <c r="M552" s="31" t="n"/>
      <c r="N552" s="24">
        <f>IF(OR($L552="",$M552=""),"",ROUND($L552-$L552/(1+$M552/100),2))</f>
        <v/>
      </c>
      <c r="O552" s="9" t="n"/>
      <c r="P552" s="9" t="n"/>
      <c r="Q552" s="9" t="n"/>
      <c r="R552" s="9" t="n"/>
      <c r="S552" s="9" t="n"/>
    </row>
    <row r="553">
      <c r="A553" s="9" t="n"/>
      <c r="B553" s="9" t="n"/>
      <c r="C553" s="30" t="n"/>
      <c r="D553" s="9">
        <f>IF($C553="","",YEAR($C553)&amp;"-"&amp;TEXT(MONTH($C553),"00"))</f>
        <v/>
      </c>
      <c r="E553" s="9" t="n"/>
      <c r="F553" s="9" t="n"/>
      <c r="G553" s="9" t="n"/>
      <c r="H553" s="24" t="n"/>
      <c r="I553" s="9" t="n"/>
      <c r="J553" s="24" t="n"/>
      <c r="K553" s="24" t="n"/>
      <c r="L553" s="24">
        <f>IF($H553="","",ROUND($H553*$J553-N($K553),2))</f>
        <v/>
      </c>
      <c r="M553" s="31" t="n"/>
      <c r="N553" s="24">
        <f>IF(OR($L553="",$M553=""),"",ROUND($L553-$L553/(1+$M553/100),2))</f>
        <v/>
      </c>
      <c r="O553" s="9" t="n"/>
      <c r="P553" s="9" t="n"/>
      <c r="Q553" s="9" t="n"/>
      <c r="R553" s="9" t="n"/>
      <c r="S553" s="9" t="n"/>
    </row>
    <row r="554">
      <c r="A554" s="9" t="n"/>
      <c r="B554" s="9" t="n"/>
      <c r="C554" s="30" t="n"/>
      <c r="D554" s="9">
        <f>IF($C554="","",YEAR($C554)&amp;"-"&amp;TEXT(MONTH($C554),"00"))</f>
        <v/>
      </c>
      <c r="E554" s="9" t="n"/>
      <c r="F554" s="9" t="n"/>
      <c r="G554" s="9" t="n"/>
      <c r="H554" s="24" t="n"/>
      <c r="I554" s="9" t="n"/>
      <c r="J554" s="24" t="n"/>
      <c r="K554" s="24" t="n"/>
      <c r="L554" s="24">
        <f>IF($H554="","",ROUND($H554*$J554-N($K554),2))</f>
        <v/>
      </c>
      <c r="M554" s="31" t="n"/>
      <c r="N554" s="24">
        <f>IF(OR($L554="",$M554=""),"",ROUND($L554-$L554/(1+$M554/100),2))</f>
        <v/>
      </c>
      <c r="O554" s="9" t="n"/>
      <c r="P554" s="9" t="n"/>
      <c r="Q554" s="9" t="n"/>
      <c r="R554" s="9" t="n"/>
      <c r="S554" s="9" t="n"/>
    </row>
    <row r="555">
      <c r="A555" s="9" t="n"/>
      <c r="B555" s="9" t="n"/>
      <c r="C555" s="30" t="n"/>
      <c r="D555" s="9">
        <f>IF($C555="","",YEAR($C555)&amp;"-"&amp;TEXT(MONTH($C555),"00"))</f>
        <v/>
      </c>
      <c r="E555" s="9" t="n"/>
      <c r="F555" s="9" t="n"/>
      <c r="G555" s="9" t="n"/>
      <c r="H555" s="24" t="n"/>
      <c r="I555" s="9" t="n"/>
      <c r="J555" s="24" t="n"/>
      <c r="K555" s="24" t="n"/>
      <c r="L555" s="24">
        <f>IF($H555="","",ROUND($H555*$J555-N($K555),2))</f>
        <v/>
      </c>
      <c r="M555" s="31" t="n"/>
      <c r="N555" s="24">
        <f>IF(OR($L555="",$M555=""),"",ROUND($L555-$L555/(1+$M555/100),2))</f>
        <v/>
      </c>
      <c r="O555" s="9" t="n"/>
      <c r="P555" s="9" t="n"/>
      <c r="Q555" s="9" t="n"/>
      <c r="R555" s="9" t="n"/>
      <c r="S555" s="9" t="n"/>
    </row>
    <row r="556">
      <c r="A556" s="9" t="n"/>
      <c r="B556" s="9" t="n"/>
      <c r="C556" s="30" t="n"/>
      <c r="D556" s="9">
        <f>IF($C556="","",YEAR($C556)&amp;"-"&amp;TEXT(MONTH($C556),"00"))</f>
        <v/>
      </c>
      <c r="E556" s="9" t="n"/>
      <c r="F556" s="9" t="n"/>
      <c r="G556" s="9" t="n"/>
      <c r="H556" s="24" t="n"/>
      <c r="I556" s="9" t="n"/>
      <c r="J556" s="24" t="n"/>
      <c r="K556" s="24" t="n"/>
      <c r="L556" s="24">
        <f>IF($H556="","",ROUND($H556*$J556-N($K556),2))</f>
        <v/>
      </c>
      <c r="M556" s="31" t="n"/>
      <c r="N556" s="24">
        <f>IF(OR($L556="",$M556=""),"",ROUND($L556-$L556/(1+$M556/100),2))</f>
        <v/>
      </c>
      <c r="O556" s="9" t="n"/>
      <c r="P556" s="9" t="n"/>
      <c r="Q556" s="9" t="n"/>
      <c r="R556" s="9" t="n"/>
      <c r="S556" s="9" t="n"/>
    </row>
    <row r="557">
      <c r="A557" s="9" t="n"/>
      <c r="B557" s="9" t="n"/>
      <c r="C557" s="30" t="n"/>
      <c r="D557" s="9">
        <f>IF($C557="","",YEAR($C557)&amp;"-"&amp;TEXT(MONTH($C557),"00"))</f>
        <v/>
      </c>
      <c r="E557" s="9" t="n"/>
      <c r="F557" s="9" t="n"/>
      <c r="G557" s="9" t="n"/>
      <c r="H557" s="24" t="n"/>
      <c r="I557" s="9" t="n"/>
      <c r="J557" s="24" t="n"/>
      <c r="K557" s="24" t="n"/>
      <c r="L557" s="24">
        <f>IF($H557="","",ROUND($H557*$J557-N($K557),2))</f>
        <v/>
      </c>
      <c r="M557" s="31" t="n"/>
      <c r="N557" s="24">
        <f>IF(OR($L557="",$M557=""),"",ROUND($L557-$L557/(1+$M557/100),2))</f>
        <v/>
      </c>
      <c r="O557" s="9" t="n"/>
      <c r="P557" s="9" t="n"/>
      <c r="Q557" s="9" t="n"/>
      <c r="R557" s="9" t="n"/>
      <c r="S557" s="9" t="n"/>
    </row>
    <row r="558">
      <c r="A558" s="9" t="n"/>
      <c r="B558" s="9" t="n"/>
      <c r="C558" s="30" t="n"/>
      <c r="D558" s="9">
        <f>IF($C558="","",YEAR($C558)&amp;"-"&amp;TEXT(MONTH($C558),"00"))</f>
        <v/>
      </c>
      <c r="E558" s="9" t="n"/>
      <c r="F558" s="9" t="n"/>
      <c r="G558" s="9" t="n"/>
      <c r="H558" s="24" t="n"/>
      <c r="I558" s="9" t="n"/>
      <c r="J558" s="24" t="n"/>
      <c r="K558" s="24" t="n"/>
      <c r="L558" s="24">
        <f>IF($H558="","",ROUND($H558*$J558-N($K558),2))</f>
        <v/>
      </c>
      <c r="M558" s="31" t="n"/>
      <c r="N558" s="24">
        <f>IF(OR($L558="",$M558=""),"",ROUND($L558-$L558/(1+$M558/100),2))</f>
        <v/>
      </c>
      <c r="O558" s="9" t="n"/>
      <c r="P558" s="9" t="n"/>
      <c r="Q558" s="9" t="n"/>
      <c r="R558" s="9" t="n"/>
      <c r="S558" s="9" t="n"/>
    </row>
    <row r="559">
      <c r="A559" s="9" t="n"/>
      <c r="B559" s="9" t="n"/>
      <c r="C559" s="30" t="n"/>
      <c r="D559" s="9">
        <f>IF($C559="","",YEAR($C559)&amp;"-"&amp;TEXT(MONTH($C559),"00"))</f>
        <v/>
      </c>
      <c r="E559" s="9" t="n"/>
      <c r="F559" s="9" t="n"/>
      <c r="G559" s="9" t="n"/>
      <c r="H559" s="24" t="n"/>
      <c r="I559" s="9" t="n"/>
      <c r="J559" s="24" t="n"/>
      <c r="K559" s="24" t="n"/>
      <c r="L559" s="24">
        <f>IF($H559="","",ROUND($H559*$J559-N($K559),2))</f>
        <v/>
      </c>
      <c r="M559" s="31" t="n"/>
      <c r="N559" s="24">
        <f>IF(OR($L559="",$M559=""),"",ROUND($L559-$L559/(1+$M559/100),2))</f>
        <v/>
      </c>
      <c r="O559" s="9" t="n"/>
      <c r="P559" s="9" t="n"/>
      <c r="Q559" s="9" t="n"/>
      <c r="R559" s="9" t="n"/>
      <c r="S559" s="9" t="n"/>
    </row>
    <row r="560">
      <c r="A560" s="9" t="n"/>
      <c r="B560" s="9" t="n"/>
      <c r="C560" s="30" t="n"/>
      <c r="D560" s="9">
        <f>IF($C560="","",YEAR($C560)&amp;"-"&amp;TEXT(MONTH($C560),"00"))</f>
        <v/>
      </c>
      <c r="E560" s="9" t="n"/>
      <c r="F560" s="9" t="n"/>
      <c r="G560" s="9" t="n"/>
      <c r="H560" s="24" t="n"/>
      <c r="I560" s="9" t="n"/>
      <c r="J560" s="24" t="n"/>
      <c r="K560" s="24" t="n"/>
      <c r="L560" s="24">
        <f>IF($H560="","",ROUND($H560*$J560-N($K560),2))</f>
        <v/>
      </c>
      <c r="M560" s="31" t="n"/>
      <c r="N560" s="24">
        <f>IF(OR($L560="",$M560=""),"",ROUND($L560-$L560/(1+$M560/100),2))</f>
        <v/>
      </c>
      <c r="O560" s="9" t="n"/>
      <c r="P560" s="9" t="n"/>
      <c r="Q560" s="9" t="n"/>
      <c r="R560" s="9" t="n"/>
      <c r="S560" s="9" t="n"/>
    </row>
    <row r="561">
      <c r="A561" s="9" t="n"/>
      <c r="B561" s="9" t="n"/>
      <c r="C561" s="30" t="n"/>
      <c r="D561" s="9">
        <f>IF($C561="","",YEAR($C561)&amp;"-"&amp;TEXT(MONTH($C561),"00"))</f>
        <v/>
      </c>
      <c r="E561" s="9" t="n"/>
      <c r="F561" s="9" t="n"/>
      <c r="G561" s="9" t="n"/>
      <c r="H561" s="24" t="n"/>
      <c r="I561" s="9" t="n"/>
      <c r="J561" s="24" t="n"/>
      <c r="K561" s="24" t="n"/>
      <c r="L561" s="24">
        <f>IF($H561="","",ROUND($H561*$J561-N($K561),2))</f>
        <v/>
      </c>
      <c r="M561" s="31" t="n"/>
      <c r="N561" s="24">
        <f>IF(OR($L561="",$M561=""),"",ROUND($L561-$L561/(1+$M561/100),2))</f>
        <v/>
      </c>
      <c r="O561" s="9" t="n"/>
      <c r="P561" s="9" t="n"/>
      <c r="Q561" s="9" t="n"/>
      <c r="R561" s="9" t="n"/>
      <c r="S561" s="9" t="n"/>
    </row>
    <row r="562">
      <c r="A562" s="9" t="n"/>
      <c r="B562" s="9" t="n"/>
      <c r="C562" s="30" t="n"/>
      <c r="D562" s="9">
        <f>IF($C562="","",YEAR($C562)&amp;"-"&amp;TEXT(MONTH($C562),"00"))</f>
        <v/>
      </c>
      <c r="E562" s="9" t="n"/>
      <c r="F562" s="9" t="n"/>
      <c r="G562" s="9" t="n"/>
      <c r="H562" s="24" t="n"/>
      <c r="I562" s="9" t="n"/>
      <c r="J562" s="24" t="n"/>
      <c r="K562" s="24" t="n"/>
      <c r="L562" s="24">
        <f>IF($H562="","",ROUND($H562*$J562-N($K562),2))</f>
        <v/>
      </c>
      <c r="M562" s="31" t="n"/>
      <c r="N562" s="24">
        <f>IF(OR($L562="",$M562=""),"",ROUND($L562-$L562/(1+$M562/100),2))</f>
        <v/>
      </c>
      <c r="O562" s="9" t="n"/>
      <c r="P562" s="9" t="n"/>
      <c r="Q562" s="9" t="n"/>
      <c r="R562" s="9" t="n"/>
      <c r="S562" s="9" t="n"/>
    </row>
    <row r="563">
      <c r="A563" s="9" t="n"/>
      <c r="B563" s="9" t="n"/>
      <c r="C563" s="30" t="n"/>
      <c r="D563" s="9">
        <f>IF($C563="","",YEAR($C563)&amp;"-"&amp;TEXT(MONTH($C563),"00"))</f>
        <v/>
      </c>
      <c r="E563" s="9" t="n"/>
      <c r="F563" s="9" t="n"/>
      <c r="G563" s="9" t="n"/>
      <c r="H563" s="24" t="n"/>
      <c r="I563" s="9" t="n"/>
      <c r="J563" s="24" t="n"/>
      <c r="K563" s="24" t="n"/>
      <c r="L563" s="24">
        <f>IF($H563="","",ROUND($H563*$J563-N($K563),2))</f>
        <v/>
      </c>
      <c r="M563" s="31" t="n"/>
      <c r="N563" s="24">
        <f>IF(OR($L563="",$M563=""),"",ROUND($L563-$L563/(1+$M563/100),2))</f>
        <v/>
      </c>
      <c r="O563" s="9" t="n"/>
      <c r="P563" s="9" t="n"/>
      <c r="Q563" s="9" t="n"/>
      <c r="R563" s="9" t="n"/>
      <c r="S563" s="9" t="n"/>
    </row>
    <row r="564">
      <c r="A564" s="9" t="n"/>
      <c r="B564" s="9" t="n"/>
      <c r="C564" s="30" t="n"/>
      <c r="D564" s="9">
        <f>IF($C564="","",YEAR($C564)&amp;"-"&amp;TEXT(MONTH($C564),"00"))</f>
        <v/>
      </c>
      <c r="E564" s="9" t="n"/>
      <c r="F564" s="9" t="n"/>
      <c r="G564" s="9" t="n"/>
      <c r="H564" s="24" t="n"/>
      <c r="I564" s="9" t="n"/>
      <c r="J564" s="24" t="n"/>
      <c r="K564" s="24" t="n"/>
      <c r="L564" s="24">
        <f>IF($H564="","",ROUND($H564*$J564-N($K564),2))</f>
        <v/>
      </c>
      <c r="M564" s="31" t="n"/>
      <c r="N564" s="24">
        <f>IF(OR($L564="",$M564=""),"",ROUND($L564-$L564/(1+$M564/100),2))</f>
        <v/>
      </c>
      <c r="O564" s="9" t="n"/>
      <c r="P564" s="9" t="n"/>
      <c r="Q564" s="9" t="n"/>
      <c r="R564" s="9" t="n"/>
      <c r="S564" s="9" t="n"/>
    </row>
    <row r="565">
      <c r="A565" s="9" t="n"/>
      <c r="B565" s="9" t="n"/>
      <c r="C565" s="30" t="n"/>
      <c r="D565" s="9">
        <f>IF($C565="","",YEAR($C565)&amp;"-"&amp;TEXT(MONTH($C565),"00"))</f>
        <v/>
      </c>
      <c r="E565" s="9" t="n"/>
      <c r="F565" s="9" t="n"/>
      <c r="G565" s="9" t="n"/>
      <c r="H565" s="24" t="n"/>
      <c r="I565" s="9" t="n"/>
      <c r="J565" s="24" t="n"/>
      <c r="K565" s="24" t="n"/>
      <c r="L565" s="24">
        <f>IF($H565="","",ROUND($H565*$J565-N($K565),2))</f>
        <v/>
      </c>
      <c r="M565" s="31" t="n"/>
      <c r="N565" s="24">
        <f>IF(OR($L565="",$M565=""),"",ROUND($L565-$L565/(1+$M565/100),2))</f>
        <v/>
      </c>
      <c r="O565" s="9" t="n"/>
      <c r="P565" s="9" t="n"/>
      <c r="Q565" s="9" t="n"/>
      <c r="R565" s="9" t="n"/>
      <c r="S565" s="9" t="n"/>
    </row>
    <row r="566">
      <c r="A566" s="9" t="n"/>
      <c r="B566" s="9" t="n"/>
      <c r="C566" s="30" t="n"/>
      <c r="D566" s="9">
        <f>IF($C566="","",YEAR($C566)&amp;"-"&amp;TEXT(MONTH($C566),"00"))</f>
        <v/>
      </c>
      <c r="E566" s="9" t="n"/>
      <c r="F566" s="9" t="n"/>
      <c r="G566" s="9" t="n"/>
      <c r="H566" s="24" t="n"/>
      <c r="I566" s="9" t="n"/>
      <c r="J566" s="24" t="n"/>
      <c r="K566" s="24" t="n"/>
      <c r="L566" s="24">
        <f>IF($H566="","",ROUND($H566*$J566-N($K566),2))</f>
        <v/>
      </c>
      <c r="M566" s="31" t="n"/>
      <c r="N566" s="24">
        <f>IF(OR($L566="",$M566=""),"",ROUND($L566-$L566/(1+$M566/100),2))</f>
        <v/>
      </c>
      <c r="O566" s="9" t="n"/>
      <c r="P566" s="9" t="n"/>
      <c r="Q566" s="9" t="n"/>
      <c r="R566" s="9" t="n"/>
      <c r="S566" s="9" t="n"/>
    </row>
    <row r="567">
      <c r="A567" s="9" t="n"/>
      <c r="B567" s="9" t="n"/>
      <c r="C567" s="30" t="n"/>
      <c r="D567" s="9">
        <f>IF($C567="","",YEAR($C567)&amp;"-"&amp;TEXT(MONTH($C567),"00"))</f>
        <v/>
      </c>
      <c r="E567" s="9" t="n"/>
      <c r="F567" s="9" t="n"/>
      <c r="G567" s="9" t="n"/>
      <c r="H567" s="24" t="n"/>
      <c r="I567" s="9" t="n"/>
      <c r="J567" s="24" t="n"/>
      <c r="K567" s="24" t="n"/>
      <c r="L567" s="24">
        <f>IF($H567="","",ROUND($H567*$J567-N($K567),2))</f>
        <v/>
      </c>
      <c r="M567" s="31" t="n"/>
      <c r="N567" s="24">
        <f>IF(OR($L567="",$M567=""),"",ROUND($L567-$L567/(1+$M567/100),2))</f>
        <v/>
      </c>
      <c r="O567" s="9" t="n"/>
      <c r="P567" s="9" t="n"/>
      <c r="Q567" s="9" t="n"/>
      <c r="R567" s="9" t="n"/>
      <c r="S567" s="9" t="n"/>
    </row>
    <row r="568">
      <c r="A568" s="9" t="n"/>
      <c r="B568" s="9" t="n"/>
      <c r="C568" s="30" t="n"/>
      <c r="D568" s="9">
        <f>IF($C568="","",YEAR($C568)&amp;"-"&amp;TEXT(MONTH($C568),"00"))</f>
        <v/>
      </c>
      <c r="E568" s="9" t="n"/>
      <c r="F568" s="9" t="n"/>
      <c r="G568" s="9" t="n"/>
      <c r="H568" s="24" t="n"/>
      <c r="I568" s="9" t="n"/>
      <c r="J568" s="24" t="n"/>
      <c r="K568" s="24" t="n"/>
      <c r="L568" s="24">
        <f>IF($H568="","",ROUND($H568*$J568-N($K568),2))</f>
        <v/>
      </c>
      <c r="M568" s="31" t="n"/>
      <c r="N568" s="24">
        <f>IF(OR($L568="",$M568=""),"",ROUND($L568-$L568/(1+$M568/100),2))</f>
        <v/>
      </c>
      <c r="O568" s="9" t="n"/>
      <c r="P568" s="9" t="n"/>
      <c r="Q568" s="9" t="n"/>
      <c r="R568" s="9" t="n"/>
      <c r="S568" s="9" t="n"/>
    </row>
    <row r="569">
      <c r="A569" s="9" t="n"/>
      <c r="B569" s="9" t="n"/>
      <c r="C569" s="30" t="n"/>
      <c r="D569" s="9">
        <f>IF($C569="","",YEAR($C569)&amp;"-"&amp;TEXT(MONTH($C569),"00"))</f>
        <v/>
      </c>
      <c r="E569" s="9" t="n"/>
      <c r="F569" s="9" t="n"/>
      <c r="G569" s="9" t="n"/>
      <c r="H569" s="24" t="n"/>
      <c r="I569" s="9" t="n"/>
      <c r="J569" s="24" t="n"/>
      <c r="K569" s="24" t="n"/>
      <c r="L569" s="24">
        <f>IF($H569="","",ROUND($H569*$J569-N($K569),2))</f>
        <v/>
      </c>
      <c r="M569" s="31" t="n"/>
      <c r="N569" s="24">
        <f>IF(OR($L569="",$M569=""),"",ROUND($L569-$L569/(1+$M569/100),2))</f>
        <v/>
      </c>
      <c r="O569" s="9" t="n"/>
      <c r="P569" s="9" t="n"/>
      <c r="Q569" s="9" t="n"/>
      <c r="R569" s="9" t="n"/>
      <c r="S569" s="9" t="n"/>
    </row>
    <row r="570">
      <c r="A570" s="9" t="n"/>
      <c r="B570" s="9" t="n"/>
      <c r="C570" s="30" t="n"/>
      <c r="D570" s="9">
        <f>IF($C570="","",YEAR($C570)&amp;"-"&amp;TEXT(MONTH($C570),"00"))</f>
        <v/>
      </c>
      <c r="E570" s="9" t="n"/>
      <c r="F570" s="9" t="n"/>
      <c r="G570" s="9" t="n"/>
      <c r="H570" s="24" t="n"/>
      <c r="I570" s="9" t="n"/>
      <c r="J570" s="24" t="n"/>
      <c r="K570" s="24" t="n"/>
      <c r="L570" s="24">
        <f>IF($H570="","",ROUND($H570*$J570-N($K570),2))</f>
        <v/>
      </c>
      <c r="M570" s="31" t="n"/>
      <c r="N570" s="24">
        <f>IF(OR($L570="",$M570=""),"",ROUND($L570-$L570/(1+$M570/100),2))</f>
        <v/>
      </c>
      <c r="O570" s="9" t="n"/>
      <c r="P570" s="9" t="n"/>
      <c r="Q570" s="9" t="n"/>
      <c r="R570" s="9" t="n"/>
      <c r="S570" s="9" t="n"/>
    </row>
    <row r="571">
      <c r="A571" s="9" t="n"/>
      <c r="B571" s="9" t="n"/>
      <c r="C571" s="30" t="n"/>
      <c r="D571" s="9">
        <f>IF($C571="","",YEAR($C571)&amp;"-"&amp;TEXT(MONTH($C571),"00"))</f>
        <v/>
      </c>
      <c r="E571" s="9" t="n"/>
      <c r="F571" s="9" t="n"/>
      <c r="G571" s="9" t="n"/>
      <c r="H571" s="24" t="n"/>
      <c r="I571" s="9" t="n"/>
      <c r="J571" s="24" t="n"/>
      <c r="K571" s="24" t="n"/>
      <c r="L571" s="24">
        <f>IF($H571="","",ROUND($H571*$J571-N($K571),2))</f>
        <v/>
      </c>
      <c r="M571" s="31" t="n"/>
      <c r="N571" s="24">
        <f>IF(OR($L571="",$M571=""),"",ROUND($L571-$L571/(1+$M571/100),2))</f>
        <v/>
      </c>
      <c r="O571" s="9" t="n"/>
      <c r="P571" s="9" t="n"/>
      <c r="Q571" s="9" t="n"/>
      <c r="R571" s="9" t="n"/>
      <c r="S571" s="9" t="n"/>
    </row>
    <row r="572">
      <c r="A572" s="9" t="n"/>
      <c r="B572" s="9" t="n"/>
      <c r="C572" s="30" t="n"/>
      <c r="D572" s="9">
        <f>IF($C572="","",YEAR($C572)&amp;"-"&amp;TEXT(MONTH($C572),"00"))</f>
        <v/>
      </c>
      <c r="E572" s="9" t="n"/>
      <c r="F572" s="9" t="n"/>
      <c r="G572" s="9" t="n"/>
      <c r="H572" s="24" t="n"/>
      <c r="I572" s="9" t="n"/>
      <c r="J572" s="24" t="n"/>
      <c r="K572" s="24" t="n"/>
      <c r="L572" s="24">
        <f>IF($H572="","",ROUND($H572*$J572-N($K572),2))</f>
        <v/>
      </c>
      <c r="M572" s="31" t="n"/>
      <c r="N572" s="24">
        <f>IF(OR($L572="",$M572=""),"",ROUND($L572-$L572/(1+$M572/100),2))</f>
        <v/>
      </c>
      <c r="O572" s="9" t="n"/>
      <c r="P572" s="9" t="n"/>
      <c r="Q572" s="9" t="n"/>
      <c r="R572" s="9" t="n"/>
      <c r="S572" s="9" t="n"/>
    </row>
    <row r="573">
      <c r="A573" s="9" t="n"/>
      <c r="B573" s="9" t="n"/>
      <c r="C573" s="30" t="n"/>
      <c r="D573" s="9">
        <f>IF($C573="","",YEAR($C573)&amp;"-"&amp;TEXT(MONTH($C573),"00"))</f>
        <v/>
      </c>
      <c r="E573" s="9" t="n"/>
      <c r="F573" s="9" t="n"/>
      <c r="G573" s="9" t="n"/>
      <c r="H573" s="24" t="n"/>
      <c r="I573" s="9" t="n"/>
      <c r="J573" s="24" t="n"/>
      <c r="K573" s="24" t="n"/>
      <c r="L573" s="24">
        <f>IF($H573="","",ROUND($H573*$J573-N($K573),2))</f>
        <v/>
      </c>
      <c r="M573" s="31" t="n"/>
      <c r="N573" s="24">
        <f>IF(OR($L573="",$M573=""),"",ROUND($L573-$L573/(1+$M573/100),2))</f>
        <v/>
      </c>
      <c r="O573" s="9" t="n"/>
      <c r="P573" s="9" t="n"/>
      <c r="Q573" s="9" t="n"/>
      <c r="R573" s="9" t="n"/>
      <c r="S573" s="9" t="n"/>
    </row>
    <row r="574">
      <c r="A574" s="9" t="n"/>
      <c r="B574" s="9" t="n"/>
      <c r="C574" s="30" t="n"/>
      <c r="D574" s="9">
        <f>IF($C574="","",YEAR($C574)&amp;"-"&amp;TEXT(MONTH($C574),"00"))</f>
        <v/>
      </c>
      <c r="E574" s="9" t="n"/>
      <c r="F574" s="9" t="n"/>
      <c r="G574" s="9" t="n"/>
      <c r="H574" s="24" t="n"/>
      <c r="I574" s="9" t="n"/>
      <c r="J574" s="24" t="n"/>
      <c r="K574" s="24" t="n"/>
      <c r="L574" s="24">
        <f>IF($H574="","",ROUND($H574*$J574-N($K574),2))</f>
        <v/>
      </c>
      <c r="M574" s="31" t="n"/>
      <c r="N574" s="24">
        <f>IF(OR($L574="",$M574=""),"",ROUND($L574-$L574/(1+$M574/100),2))</f>
        <v/>
      </c>
      <c r="O574" s="9" t="n"/>
      <c r="P574" s="9" t="n"/>
      <c r="Q574" s="9" t="n"/>
      <c r="R574" s="9" t="n"/>
      <c r="S574" s="9" t="n"/>
    </row>
    <row r="575">
      <c r="A575" s="9" t="n"/>
      <c r="B575" s="9" t="n"/>
      <c r="C575" s="30" t="n"/>
      <c r="D575" s="9">
        <f>IF($C575="","",YEAR($C575)&amp;"-"&amp;TEXT(MONTH($C575),"00"))</f>
        <v/>
      </c>
      <c r="E575" s="9" t="n"/>
      <c r="F575" s="9" t="n"/>
      <c r="G575" s="9" t="n"/>
      <c r="H575" s="24" t="n"/>
      <c r="I575" s="9" t="n"/>
      <c r="J575" s="24" t="n"/>
      <c r="K575" s="24" t="n"/>
      <c r="L575" s="24">
        <f>IF($H575="","",ROUND($H575*$J575-N($K575),2))</f>
        <v/>
      </c>
      <c r="M575" s="31" t="n"/>
      <c r="N575" s="24">
        <f>IF(OR($L575="",$M575=""),"",ROUND($L575-$L575/(1+$M575/100),2))</f>
        <v/>
      </c>
      <c r="O575" s="9" t="n"/>
      <c r="P575" s="9" t="n"/>
      <c r="Q575" s="9" t="n"/>
      <c r="R575" s="9" t="n"/>
      <c r="S575" s="9" t="n"/>
    </row>
    <row r="576">
      <c r="A576" s="9" t="n"/>
      <c r="B576" s="9" t="n"/>
      <c r="C576" s="30" t="n"/>
      <c r="D576" s="9">
        <f>IF($C576="","",YEAR($C576)&amp;"-"&amp;TEXT(MONTH($C576),"00"))</f>
        <v/>
      </c>
      <c r="E576" s="9" t="n"/>
      <c r="F576" s="9" t="n"/>
      <c r="G576" s="9" t="n"/>
      <c r="H576" s="24" t="n"/>
      <c r="I576" s="9" t="n"/>
      <c r="J576" s="24" t="n"/>
      <c r="K576" s="24" t="n"/>
      <c r="L576" s="24">
        <f>IF($H576="","",ROUND($H576*$J576-N($K576),2))</f>
        <v/>
      </c>
      <c r="M576" s="31" t="n"/>
      <c r="N576" s="24">
        <f>IF(OR($L576="",$M576=""),"",ROUND($L576-$L576/(1+$M576/100),2))</f>
        <v/>
      </c>
      <c r="O576" s="9" t="n"/>
      <c r="P576" s="9" t="n"/>
      <c r="Q576" s="9" t="n"/>
      <c r="R576" s="9" t="n"/>
      <c r="S576" s="9" t="n"/>
    </row>
    <row r="577">
      <c r="A577" s="9" t="n"/>
      <c r="B577" s="9" t="n"/>
      <c r="C577" s="30" t="n"/>
      <c r="D577" s="9">
        <f>IF($C577="","",YEAR($C577)&amp;"-"&amp;TEXT(MONTH($C577),"00"))</f>
        <v/>
      </c>
      <c r="E577" s="9" t="n"/>
      <c r="F577" s="9" t="n"/>
      <c r="G577" s="9" t="n"/>
      <c r="H577" s="24" t="n"/>
      <c r="I577" s="9" t="n"/>
      <c r="J577" s="24" t="n"/>
      <c r="K577" s="24" t="n"/>
      <c r="L577" s="24">
        <f>IF($H577="","",ROUND($H577*$J577-N($K577),2))</f>
        <v/>
      </c>
      <c r="M577" s="31" t="n"/>
      <c r="N577" s="24">
        <f>IF(OR($L577="",$M577=""),"",ROUND($L577-$L577/(1+$M577/100),2))</f>
        <v/>
      </c>
      <c r="O577" s="9" t="n"/>
      <c r="P577" s="9" t="n"/>
      <c r="Q577" s="9" t="n"/>
      <c r="R577" s="9" t="n"/>
      <c r="S577" s="9" t="n"/>
    </row>
    <row r="578">
      <c r="A578" s="9" t="n"/>
      <c r="B578" s="9" t="n"/>
      <c r="C578" s="30" t="n"/>
      <c r="D578" s="9">
        <f>IF($C578="","",YEAR($C578)&amp;"-"&amp;TEXT(MONTH($C578),"00"))</f>
        <v/>
      </c>
      <c r="E578" s="9" t="n"/>
      <c r="F578" s="9" t="n"/>
      <c r="G578" s="9" t="n"/>
      <c r="H578" s="24" t="n"/>
      <c r="I578" s="9" t="n"/>
      <c r="J578" s="24" t="n"/>
      <c r="K578" s="24" t="n"/>
      <c r="L578" s="24">
        <f>IF($H578="","",ROUND($H578*$J578-N($K578),2))</f>
        <v/>
      </c>
      <c r="M578" s="31" t="n"/>
      <c r="N578" s="24">
        <f>IF(OR($L578="",$M578=""),"",ROUND($L578-$L578/(1+$M578/100),2))</f>
        <v/>
      </c>
      <c r="O578" s="9" t="n"/>
      <c r="P578" s="9" t="n"/>
      <c r="Q578" s="9" t="n"/>
      <c r="R578" s="9" t="n"/>
      <c r="S578" s="9" t="n"/>
    </row>
    <row r="579">
      <c r="A579" s="9" t="n"/>
      <c r="B579" s="9" t="n"/>
      <c r="C579" s="30" t="n"/>
      <c r="D579" s="9">
        <f>IF($C579="","",YEAR($C579)&amp;"-"&amp;TEXT(MONTH($C579),"00"))</f>
        <v/>
      </c>
      <c r="E579" s="9" t="n"/>
      <c r="F579" s="9" t="n"/>
      <c r="G579" s="9" t="n"/>
      <c r="H579" s="24" t="n"/>
      <c r="I579" s="9" t="n"/>
      <c r="J579" s="24" t="n"/>
      <c r="K579" s="24" t="n"/>
      <c r="L579" s="24">
        <f>IF($H579="","",ROUND($H579*$J579-N($K579),2))</f>
        <v/>
      </c>
      <c r="M579" s="31" t="n"/>
      <c r="N579" s="24">
        <f>IF(OR($L579="",$M579=""),"",ROUND($L579-$L579/(1+$M579/100),2))</f>
        <v/>
      </c>
      <c r="O579" s="9" t="n"/>
      <c r="P579" s="9" t="n"/>
      <c r="Q579" s="9" t="n"/>
      <c r="R579" s="9" t="n"/>
      <c r="S579" s="9" t="n"/>
    </row>
    <row r="580">
      <c r="A580" s="9" t="n"/>
      <c r="B580" s="9" t="n"/>
      <c r="C580" s="30" t="n"/>
      <c r="D580" s="9">
        <f>IF($C580="","",YEAR($C580)&amp;"-"&amp;TEXT(MONTH($C580),"00"))</f>
        <v/>
      </c>
      <c r="E580" s="9" t="n"/>
      <c r="F580" s="9" t="n"/>
      <c r="G580" s="9" t="n"/>
      <c r="H580" s="24" t="n"/>
      <c r="I580" s="9" t="n"/>
      <c r="J580" s="24" t="n"/>
      <c r="K580" s="24" t="n"/>
      <c r="L580" s="24">
        <f>IF($H580="","",ROUND($H580*$J580-N($K580),2))</f>
        <v/>
      </c>
      <c r="M580" s="31" t="n"/>
      <c r="N580" s="24">
        <f>IF(OR($L580="",$M580=""),"",ROUND($L580-$L580/(1+$M580/100),2))</f>
        <v/>
      </c>
      <c r="O580" s="9" t="n"/>
      <c r="P580" s="9" t="n"/>
      <c r="Q580" s="9" t="n"/>
      <c r="R580" s="9" t="n"/>
      <c r="S580" s="9" t="n"/>
    </row>
    <row r="581">
      <c r="A581" s="9" t="n"/>
      <c r="B581" s="9" t="n"/>
      <c r="C581" s="30" t="n"/>
      <c r="D581" s="9">
        <f>IF($C581="","",YEAR($C581)&amp;"-"&amp;TEXT(MONTH($C581),"00"))</f>
        <v/>
      </c>
      <c r="E581" s="9" t="n"/>
      <c r="F581" s="9" t="n"/>
      <c r="G581" s="9" t="n"/>
      <c r="H581" s="24" t="n"/>
      <c r="I581" s="9" t="n"/>
      <c r="J581" s="24" t="n"/>
      <c r="K581" s="24" t="n"/>
      <c r="L581" s="24">
        <f>IF($H581="","",ROUND($H581*$J581-N($K581),2))</f>
        <v/>
      </c>
      <c r="M581" s="31" t="n"/>
      <c r="N581" s="24">
        <f>IF(OR($L581="",$M581=""),"",ROUND($L581-$L581/(1+$M581/100),2))</f>
        <v/>
      </c>
      <c r="O581" s="9" t="n"/>
      <c r="P581" s="9" t="n"/>
      <c r="Q581" s="9" t="n"/>
      <c r="R581" s="9" t="n"/>
      <c r="S581" s="9" t="n"/>
    </row>
    <row r="582">
      <c r="A582" s="9" t="n"/>
      <c r="B582" s="9" t="n"/>
      <c r="C582" s="30" t="n"/>
      <c r="D582" s="9">
        <f>IF($C582="","",YEAR($C582)&amp;"-"&amp;TEXT(MONTH($C582),"00"))</f>
        <v/>
      </c>
      <c r="E582" s="9" t="n"/>
      <c r="F582" s="9" t="n"/>
      <c r="G582" s="9" t="n"/>
      <c r="H582" s="24" t="n"/>
      <c r="I582" s="9" t="n"/>
      <c r="J582" s="24" t="n"/>
      <c r="K582" s="24" t="n"/>
      <c r="L582" s="24">
        <f>IF($H582="","",ROUND($H582*$J582-N($K582),2))</f>
        <v/>
      </c>
      <c r="M582" s="31" t="n"/>
      <c r="N582" s="24">
        <f>IF(OR($L582="",$M582=""),"",ROUND($L582-$L582/(1+$M582/100),2))</f>
        <v/>
      </c>
      <c r="O582" s="9" t="n"/>
      <c r="P582" s="9" t="n"/>
      <c r="Q582" s="9" t="n"/>
      <c r="R582" s="9" t="n"/>
      <c r="S582" s="9" t="n"/>
    </row>
    <row r="583">
      <c r="A583" s="9" t="n"/>
      <c r="B583" s="9" t="n"/>
      <c r="C583" s="30" t="n"/>
      <c r="D583" s="9">
        <f>IF($C583="","",YEAR($C583)&amp;"-"&amp;TEXT(MONTH($C583),"00"))</f>
        <v/>
      </c>
      <c r="E583" s="9" t="n"/>
      <c r="F583" s="9" t="n"/>
      <c r="G583" s="9" t="n"/>
      <c r="H583" s="24" t="n"/>
      <c r="I583" s="9" t="n"/>
      <c r="J583" s="24" t="n"/>
      <c r="K583" s="24" t="n"/>
      <c r="L583" s="24">
        <f>IF($H583="","",ROUND($H583*$J583-N($K583),2))</f>
        <v/>
      </c>
      <c r="M583" s="31" t="n"/>
      <c r="N583" s="24">
        <f>IF(OR($L583="",$M583=""),"",ROUND($L583-$L583/(1+$M583/100),2))</f>
        <v/>
      </c>
      <c r="O583" s="9" t="n"/>
      <c r="P583" s="9" t="n"/>
      <c r="Q583" s="9" t="n"/>
      <c r="R583" s="9" t="n"/>
      <c r="S583" s="9" t="n"/>
    </row>
    <row r="584">
      <c r="A584" s="9" t="n"/>
      <c r="B584" s="9" t="n"/>
      <c r="C584" s="30" t="n"/>
      <c r="D584" s="9">
        <f>IF($C584="","",YEAR($C584)&amp;"-"&amp;TEXT(MONTH($C584),"00"))</f>
        <v/>
      </c>
      <c r="E584" s="9" t="n"/>
      <c r="F584" s="9" t="n"/>
      <c r="G584" s="9" t="n"/>
      <c r="H584" s="24" t="n"/>
      <c r="I584" s="9" t="n"/>
      <c r="J584" s="24" t="n"/>
      <c r="K584" s="24" t="n"/>
      <c r="L584" s="24">
        <f>IF($H584="","",ROUND($H584*$J584-N($K584),2))</f>
        <v/>
      </c>
      <c r="M584" s="31" t="n"/>
      <c r="N584" s="24">
        <f>IF(OR($L584="",$M584=""),"",ROUND($L584-$L584/(1+$M584/100),2))</f>
        <v/>
      </c>
      <c r="O584" s="9" t="n"/>
      <c r="P584" s="9" t="n"/>
      <c r="Q584" s="9" t="n"/>
      <c r="R584" s="9" t="n"/>
      <c r="S584" s="9" t="n"/>
    </row>
    <row r="585">
      <c r="A585" s="9" t="n"/>
      <c r="B585" s="9" t="n"/>
      <c r="C585" s="30" t="n"/>
      <c r="D585" s="9">
        <f>IF($C585="","",YEAR($C585)&amp;"-"&amp;TEXT(MONTH($C585),"00"))</f>
        <v/>
      </c>
      <c r="E585" s="9" t="n"/>
      <c r="F585" s="9" t="n"/>
      <c r="G585" s="9" t="n"/>
      <c r="H585" s="24" t="n"/>
      <c r="I585" s="9" t="n"/>
      <c r="J585" s="24" t="n"/>
      <c r="K585" s="24" t="n"/>
      <c r="L585" s="24">
        <f>IF($H585="","",ROUND($H585*$J585-N($K585),2))</f>
        <v/>
      </c>
      <c r="M585" s="31" t="n"/>
      <c r="N585" s="24">
        <f>IF(OR($L585="",$M585=""),"",ROUND($L585-$L585/(1+$M585/100),2))</f>
        <v/>
      </c>
      <c r="O585" s="9" t="n"/>
      <c r="P585" s="9" t="n"/>
      <c r="Q585" s="9" t="n"/>
      <c r="R585" s="9" t="n"/>
      <c r="S585" s="9" t="n"/>
    </row>
    <row r="586">
      <c r="A586" s="9" t="n"/>
      <c r="B586" s="9" t="n"/>
      <c r="C586" s="30" t="n"/>
      <c r="D586" s="9">
        <f>IF($C586="","",YEAR($C586)&amp;"-"&amp;TEXT(MONTH($C586),"00"))</f>
        <v/>
      </c>
      <c r="E586" s="9" t="n"/>
      <c r="F586" s="9" t="n"/>
      <c r="G586" s="9" t="n"/>
      <c r="H586" s="24" t="n"/>
      <c r="I586" s="9" t="n"/>
      <c r="J586" s="24" t="n"/>
      <c r="K586" s="24" t="n"/>
      <c r="L586" s="24">
        <f>IF($H586="","",ROUND($H586*$J586-N($K586),2))</f>
        <v/>
      </c>
      <c r="M586" s="31" t="n"/>
      <c r="N586" s="24">
        <f>IF(OR($L586="",$M586=""),"",ROUND($L586-$L586/(1+$M586/100),2))</f>
        <v/>
      </c>
      <c r="O586" s="9" t="n"/>
      <c r="P586" s="9" t="n"/>
      <c r="Q586" s="9" t="n"/>
      <c r="R586" s="9" t="n"/>
      <c r="S586" s="9" t="n"/>
    </row>
    <row r="587">
      <c r="A587" s="9" t="n"/>
      <c r="B587" s="9" t="n"/>
      <c r="C587" s="30" t="n"/>
      <c r="D587" s="9">
        <f>IF($C587="","",YEAR($C587)&amp;"-"&amp;TEXT(MONTH($C587),"00"))</f>
        <v/>
      </c>
      <c r="E587" s="9" t="n"/>
      <c r="F587" s="9" t="n"/>
      <c r="G587" s="9" t="n"/>
      <c r="H587" s="24" t="n"/>
      <c r="I587" s="9" t="n"/>
      <c r="J587" s="24" t="n"/>
      <c r="K587" s="24" t="n"/>
      <c r="L587" s="24">
        <f>IF($H587="","",ROUND($H587*$J587-N($K587),2))</f>
        <v/>
      </c>
      <c r="M587" s="31" t="n"/>
      <c r="N587" s="24">
        <f>IF(OR($L587="",$M587=""),"",ROUND($L587-$L587/(1+$M587/100),2))</f>
        <v/>
      </c>
      <c r="O587" s="9" t="n"/>
      <c r="P587" s="9" t="n"/>
      <c r="Q587" s="9" t="n"/>
      <c r="R587" s="9" t="n"/>
      <c r="S587" s="9" t="n"/>
    </row>
    <row r="588">
      <c r="A588" s="9" t="n"/>
      <c r="B588" s="9" t="n"/>
      <c r="C588" s="30" t="n"/>
      <c r="D588" s="9">
        <f>IF($C588="","",YEAR($C588)&amp;"-"&amp;TEXT(MONTH($C588),"00"))</f>
        <v/>
      </c>
      <c r="E588" s="9" t="n"/>
      <c r="F588" s="9" t="n"/>
      <c r="G588" s="9" t="n"/>
      <c r="H588" s="24" t="n"/>
      <c r="I588" s="9" t="n"/>
      <c r="J588" s="24" t="n"/>
      <c r="K588" s="24" t="n"/>
      <c r="L588" s="24">
        <f>IF($H588="","",ROUND($H588*$J588-N($K588),2))</f>
        <v/>
      </c>
      <c r="M588" s="31" t="n"/>
      <c r="N588" s="24">
        <f>IF(OR($L588="",$M588=""),"",ROUND($L588-$L588/(1+$M588/100),2))</f>
        <v/>
      </c>
      <c r="O588" s="9" t="n"/>
      <c r="P588" s="9" t="n"/>
      <c r="Q588" s="9" t="n"/>
      <c r="R588" s="9" t="n"/>
      <c r="S588" s="9" t="n"/>
    </row>
    <row r="589">
      <c r="A589" s="9" t="n"/>
      <c r="B589" s="9" t="n"/>
      <c r="C589" s="30" t="n"/>
      <c r="D589" s="9">
        <f>IF($C589="","",YEAR($C589)&amp;"-"&amp;TEXT(MONTH($C589),"00"))</f>
        <v/>
      </c>
      <c r="E589" s="9" t="n"/>
      <c r="F589" s="9" t="n"/>
      <c r="G589" s="9" t="n"/>
      <c r="H589" s="24" t="n"/>
      <c r="I589" s="9" t="n"/>
      <c r="J589" s="24" t="n"/>
      <c r="K589" s="24" t="n"/>
      <c r="L589" s="24">
        <f>IF($H589="","",ROUND($H589*$J589-N($K589),2))</f>
        <v/>
      </c>
      <c r="M589" s="31" t="n"/>
      <c r="N589" s="24">
        <f>IF(OR($L589="",$M589=""),"",ROUND($L589-$L589/(1+$M589/100),2))</f>
        <v/>
      </c>
      <c r="O589" s="9" t="n"/>
      <c r="P589" s="9" t="n"/>
      <c r="Q589" s="9" t="n"/>
      <c r="R589" s="9" t="n"/>
      <c r="S589" s="9" t="n"/>
    </row>
    <row r="590">
      <c r="A590" s="9" t="n"/>
      <c r="B590" s="9" t="n"/>
      <c r="C590" s="30" t="n"/>
      <c r="D590" s="9">
        <f>IF($C590="","",YEAR($C590)&amp;"-"&amp;TEXT(MONTH($C590),"00"))</f>
        <v/>
      </c>
      <c r="E590" s="9" t="n"/>
      <c r="F590" s="9" t="n"/>
      <c r="G590" s="9" t="n"/>
      <c r="H590" s="24" t="n"/>
      <c r="I590" s="9" t="n"/>
      <c r="J590" s="24" t="n"/>
      <c r="K590" s="24" t="n"/>
      <c r="L590" s="24">
        <f>IF($H590="","",ROUND($H590*$J590-N($K590),2))</f>
        <v/>
      </c>
      <c r="M590" s="31" t="n"/>
      <c r="N590" s="24">
        <f>IF(OR($L590="",$M590=""),"",ROUND($L590-$L590/(1+$M590/100),2))</f>
        <v/>
      </c>
      <c r="O590" s="9" t="n"/>
      <c r="P590" s="9" t="n"/>
      <c r="Q590" s="9" t="n"/>
      <c r="R590" s="9" t="n"/>
      <c r="S590" s="9" t="n"/>
    </row>
    <row r="591">
      <c r="A591" s="9" t="n"/>
      <c r="B591" s="9" t="n"/>
      <c r="C591" s="30" t="n"/>
      <c r="D591" s="9">
        <f>IF($C591="","",YEAR($C591)&amp;"-"&amp;TEXT(MONTH($C591),"00"))</f>
        <v/>
      </c>
      <c r="E591" s="9" t="n"/>
      <c r="F591" s="9" t="n"/>
      <c r="G591" s="9" t="n"/>
      <c r="H591" s="24" t="n"/>
      <c r="I591" s="9" t="n"/>
      <c r="J591" s="24" t="n"/>
      <c r="K591" s="24" t="n"/>
      <c r="L591" s="24">
        <f>IF($H591="","",ROUND($H591*$J591-N($K591),2))</f>
        <v/>
      </c>
      <c r="M591" s="31" t="n"/>
      <c r="N591" s="24">
        <f>IF(OR($L591="",$M591=""),"",ROUND($L591-$L591/(1+$M591/100),2))</f>
        <v/>
      </c>
      <c r="O591" s="9" t="n"/>
      <c r="P591" s="9" t="n"/>
      <c r="Q591" s="9" t="n"/>
      <c r="R591" s="9" t="n"/>
      <c r="S591" s="9" t="n"/>
    </row>
    <row r="592">
      <c r="A592" s="9" t="n"/>
      <c r="B592" s="9" t="n"/>
      <c r="C592" s="30" t="n"/>
      <c r="D592" s="9">
        <f>IF($C592="","",YEAR($C592)&amp;"-"&amp;TEXT(MONTH($C592),"00"))</f>
        <v/>
      </c>
      <c r="E592" s="9" t="n"/>
      <c r="F592" s="9" t="n"/>
      <c r="G592" s="9" t="n"/>
      <c r="H592" s="24" t="n"/>
      <c r="I592" s="9" t="n"/>
      <c r="J592" s="24" t="n"/>
      <c r="K592" s="24" t="n"/>
      <c r="L592" s="24">
        <f>IF($H592="","",ROUND($H592*$J592-N($K592),2))</f>
        <v/>
      </c>
      <c r="M592" s="31" t="n"/>
      <c r="N592" s="24">
        <f>IF(OR($L592="",$M592=""),"",ROUND($L592-$L592/(1+$M592/100),2))</f>
        <v/>
      </c>
      <c r="O592" s="9" t="n"/>
      <c r="P592" s="9" t="n"/>
      <c r="Q592" s="9" t="n"/>
      <c r="R592" s="9" t="n"/>
      <c r="S592" s="9" t="n"/>
    </row>
    <row r="593">
      <c r="A593" s="9" t="n"/>
      <c r="B593" s="9" t="n"/>
      <c r="C593" s="30" t="n"/>
      <c r="D593" s="9">
        <f>IF($C593="","",YEAR($C593)&amp;"-"&amp;TEXT(MONTH($C593),"00"))</f>
        <v/>
      </c>
      <c r="E593" s="9" t="n"/>
      <c r="F593" s="9" t="n"/>
      <c r="G593" s="9" t="n"/>
      <c r="H593" s="24" t="n"/>
      <c r="I593" s="9" t="n"/>
      <c r="J593" s="24" t="n"/>
      <c r="K593" s="24" t="n"/>
      <c r="L593" s="24">
        <f>IF($H593="","",ROUND($H593*$J593-N($K593),2))</f>
        <v/>
      </c>
      <c r="M593" s="31" t="n"/>
      <c r="N593" s="24">
        <f>IF(OR($L593="",$M593=""),"",ROUND($L593-$L593/(1+$M593/100),2))</f>
        <v/>
      </c>
      <c r="O593" s="9" t="n"/>
      <c r="P593" s="9" t="n"/>
      <c r="Q593" s="9" t="n"/>
      <c r="R593" s="9" t="n"/>
      <c r="S593" s="9" t="n"/>
    </row>
    <row r="594">
      <c r="A594" s="9" t="n"/>
      <c r="B594" s="9" t="n"/>
      <c r="C594" s="30" t="n"/>
      <c r="D594" s="9">
        <f>IF($C594="","",YEAR($C594)&amp;"-"&amp;TEXT(MONTH($C594),"00"))</f>
        <v/>
      </c>
      <c r="E594" s="9" t="n"/>
      <c r="F594" s="9" t="n"/>
      <c r="G594" s="9" t="n"/>
      <c r="H594" s="24" t="n"/>
      <c r="I594" s="9" t="n"/>
      <c r="J594" s="24" t="n"/>
      <c r="K594" s="24" t="n"/>
      <c r="L594" s="24">
        <f>IF($H594="","",ROUND($H594*$J594-N($K594),2))</f>
        <v/>
      </c>
      <c r="M594" s="31" t="n"/>
      <c r="N594" s="24">
        <f>IF(OR($L594="",$M594=""),"",ROUND($L594-$L594/(1+$M594/100),2))</f>
        <v/>
      </c>
      <c r="O594" s="9" t="n"/>
      <c r="P594" s="9" t="n"/>
      <c r="Q594" s="9" t="n"/>
      <c r="R594" s="9" t="n"/>
      <c r="S594" s="9" t="n"/>
    </row>
    <row r="595">
      <c r="A595" s="9" t="n"/>
      <c r="B595" s="9" t="n"/>
      <c r="C595" s="30" t="n"/>
      <c r="D595" s="9">
        <f>IF($C595="","",YEAR($C595)&amp;"-"&amp;TEXT(MONTH($C595),"00"))</f>
        <v/>
      </c>
      <c r="E595" s="9" t="n"/>
      <c r="F595" s="9" t="n"/>
      <c r="G595" s="9" t="n"/>
      <c r="H595" s="24" t="n"/>
      <c r="I595" s="9" t="n"/>
      <c r="J595" s="24" t="n"/>
      <c r="K595" s="24" t="n"/>
      <c r="L595" s="24">
        <f>IF($H595="","",ROUND($H595*$J595-N($K595),2))</f>
        <v/>
      </c>
      <c r="M595" s="31" t="n"/>
      <c r="N595" s="24">
        <f>IF(OR($L595="",$M595=""),"",ROUND($L595-$L595/(1+$M595/100),2))</f>
        <v/>
      </c>
      <c r="O595" s="9" t="n"/>
      <c r="P595" s="9" t="n"/>
      <c r="Q595" s="9" t="n"/>
      <c r="R595" s="9" t="n"/>
      <c r="S595" s="9" t="n"/>
    </row>
    <row r="596">
      <c r="A596" s="9" t="n"/>
      <c r="B596" s="9" t="n"/>
      <c r="C596" s="30" t="n"/>
      <c r="D596" s="9">
        <f>IF($C596="","",YEAR($C596)&amp;"-"&amp;TEXT(MONTH($C596),"00"))</f>
        <v/>
      </c>
      <c r="E596" s="9" t="n"/>
      <c r="F596" s="9" t="n"/>
      <c r="G596" s="9" t="n"/>
      <c r="H596" s="24" t="n"/>
      <c r="I596" s="9" t="n"/>
      <c r="J596" s="24" t="n"/>
      <c r="K596" s="24" t="n"/>
      <c r="L596" s="24">
        <f>IF($H596="","",ROUND($H596*$J596-N($K596),2))</f>
        <v/>
      </c>
      <c r="M596" s="31" t="n"/>
      <c r="N596" s="24">
        <f>IF(OR($L596="",$M596=""),"",ROUND($L596-$L596/(1+$M596/100),2))</f>
        <v/>
      </c>
      <c r="O596" s="9" t="n"/>
      <c r="P596" s="9" t="n"/>
      <c r="Q596" s="9" t="n"/>
      <c r="R596" s="9" t="n"/>
      <c r="S596" s="9" t="n"/>
    </row>
    <row r="597">
      <c r="A597" s="9" t="n"/>
      <c r="B597" s="9" t="n"/>
      <c r="C597" s="30" t="n"/>
      <c r="D597" s="9">
        <f>IF($C597="","",YEAR($C597)&amp;"-"&amp;TEXT(MONTH($C597),"00"))</f>
        <v/>
      </c>
      <c r="E597" s="9" t="n"/>
      <c r="F597" s="9" t="n"/>
      <c r="G597" s="9" t="n"/>
      <c r="H597" s="24" t="n"/>
      <c r="I597" s="9" t="n"/>
      <c r="J597" s="24" t="n"/>
      <c r="K597" s="24" t="n"/>
      <c r="L597" s="24">
        <f>IF($H597="","",ROUND($H597*$J597-N($K597),2))</f>
        <v/>
      </c>
      <c r="M597" s="31" t="n"/>
      <c r="N597" s="24">
        <f>IF(OR($L597="",$M597=""),"",ROUND($L597-$L597/(1+$M597/100),2))</f>
        <v/>
      </c>
      <c r="O597" s="9" t="n"/>
      <c r="P597" s="9" t="n"/>
      <c r="Q597" s="9" t="n"/>
      <c r="R597" s="9" t="n"/>
      <c r="S597" s="9" t="n"/>
    </row>
    <row r="598">
      <c r="A598" s="9" t="n"/>
      <c r="B598" s="9" t="n"/>
      <c r="C598" s="30" t="n"/>
      <c r="D598" s="9">
        <f>IF($C598="","",YEAR($C598)&amp;"-"&amp;TEXT(MONTH($C598),"00"))</f>
        <v/>
      </c>
      <c r="E598" s="9" t="n"/>
      <c r="F598" s="9" t="n"/>
      <c r="G598" s="9" t="n"/>
      <c r="H598" s="24" t="n"/>
      <c r="I598" s="9" t="n"/>
      <c r="J598" s="24" t="n"/>
      <c r="K598" s="24" t="n"/>
      <c r="L598" s="24">
        <f>IF($H598="","",ROUND($H598*$J598-N($K598),2))</f>
        <v/>
      </c>
      <c r="M598" s="31" t="n"/>
      <c r="N598" s="24">
        <f>IF(OR($L598="",$M598=""),"",ROUND($L598-$L598/(1+$M598/100),2))</f>
        <v/>
      </c>
      <c r="O598" s="9" t="n"/>
      <c r="P598" s="9" t="n"/>
      <c r="Q598" s="9" t="n"/>
      <c r="R598" s="9" t="n"/>
      <c r="S598" s="9" t="n"/>
    </row>
    <row r="599">
      <c r="A599" s="9" t="n"/>
      <c r="B599" s="9" t="n"/>
      <c r="C599" s="30" t="n"/>
      <c r="D599" s="9">
        <f>IF($C599="","",YEAR($C599)&amp;"-"&amp;TEXT(MONTH($C599),"00"))</f>
        <v/>
      </c>
      <c r="E599" s="9" t="n"/>
      <c r="F599" s="9" t="n"/>
      <c r="G599" s="9" t="n"/>
      <c r="H599" s="24" t="n"/>
      <c r="I599" s="9" t="n"/>
      <c r="J599" s="24" t="n"/>
      <c r="K599" s="24" t="n"/>
      <c r="L599" s="24">
        <f>IF($H599="","",ROUND($H599*$J599-N($K599),2))</f>
        <v/>
      </c>
      <c r="M599" s="31" t="n"/>
      <c r="N599" s="24">
        <f>IF(OR($L599="",$M599=""),"",ROUND($L599-$L599/(1+$M599/100),2))</f>
        <v/>
      </c>
      <c r="O599" s="9" t="n"/>
      <c r="P599" s="9" t="n"/>
      <c r="Q599" s="9" t="n"/>
      <c r="R599" s="9" t="n"/>
      <c r="S599" s="9" t="n"/>
    </row>
    <row r="600">
      <c r="A600" s="9" t="n"/>
      <c r="B600" s="9" t="n"/>
      <c r="C600" s="30" t="n"/>
      <c r="D600" s="9">
        <f>IF($C600="","",YEAR($C600)&amp;"-"&amp;TEXT(MONTH($C600),"00"))</f>
        <v/>
      </c>
      <c r="E600" s="9" t="n"/>
      <c r="F600" s="9" t="n"/>
      <c r="G600" s="9" t="n"/>
      <c r="H600" s="24" t="n"/>
      <c r="I600" s="9" t="n"/>
      <c r="J600" s="24" t="n"/>
      <c r="K600" s="24" t="n"/>
      <c r="L600" s="24">
        <f>IF($H600="","",ROUND($H600*$J600-N($K600),2))</f>
        <v/>
      </c>
      <c r="M600" s="31" t="n"/>
      <c r="N600" s="24">
        <f>IF(OR($L600="",$M600=""),"",ROUND($L600-$L600/(1+$M600/100),2))</f>
        <v/>
      </c>
      <c r="O600" s="9" t="n"/>
      <c r="P600" s="9" t="n"/>
      <c r="Q600" s="9" t="n"/>
      <c r="R600" s="9" t="n"/>
      <c r="S600" s="9" t="n"/>
    </row>
    <row r="601">
      <c r="A601" s="9" t="n"/>
      <c r="B601" s="9" t="n"/>
      <c r="C601" s="30" t="n"/>
      <c r="D601" s="9">
        <f>IF($C601="","",YEAR($C601)&amp;"-"&amp;TEXT(MONTH($C601),"00"))</f>
        <v/>
      </c>
      <c r="E601" s="9" t="n"/>
      <c r="F601" s="9" t="n"/>
      <c r="G601" s="9" t="n"/>
      <c r="H601" s="24" t="n"/>
      <c r="I601" s="9" t="n"/>
      <c r="J601" s="24" t="n"/>
      <c r="K601" s="24" t="n"/>
      <c r="L601" s="24">
        <f>IF($H601="","",ROUND($H601*$J601-N($K601),2))</f>
        <v/>
      </c>
      <c r="M601" s="31" t="n"/>
      <c r="N601" s="24">
        <f>IF(OR($L601="",$M601=""),"",ROUND($L601-$L601/(1+$M601/100),2))</f>
        <v/>
      </c>
      <c r="O601" s="9" t="n"/>
      <c r="P601" s="9" t="n"/>
      <c r="Q601" s="9" t="n"/>
      <c r="R601" s="9" t="n"/>
      <c r="S601" s="9" t="n"/>
    </row>
    <row r="602">
      <c r="A602" s="9" t="n"/>
      <c r="B602" s="9" t="n"/>
      <c r="C602" s="30" t="n"/>
      <c r="D602" s="9">
        <f>IF($C602="","",YEAR($C602)&amp;"-"&amp;TEXT(MONTH($C602),"00"))</f>
        <v/>
      </c>
      <c r="E602" s="9" t="n"/>
      <c r="F602" s="9" t="n"/>
      <c r="G602" s="9" t="n"/>
      <c r="H602" s="24" t="n"/>
      <c r="I602" s="9" t="n"/>
      <c r="J602" s="24" t="n"/>
      <c r="K602" s="24" t="n"/>
      <c r="L602" s="24">
        <f>IF($H602="","",ROUND($H602*$J602-N($K602),2))</f>
        <v/>
      </c>
      <c r="M602" s="31" t="n"/>
      <c r="N602" s="24">
        <f>IF(OR($L602="",$M602=""),"",ROUND($L602-$L602/(1+$M602/100),2))</f>
        <v/>
      </c>
      <c r="O602" s="9" t="n"/>
      <c r="P602" s="9" t="n"/>
      <c r="Q602" s="9" t="n"/>
      <c r="R602" s="9" t="n"/>
      <c r="S602" s="9" t="n"/>
    </row>
    <row r="603">
      <c r="A603" s="9" t="n"/>
      <c r="B603" s="9" t="n"/>
      <c r="C603" s="30" t="n"/>
      <c r="D603" s="9">
        <f>IF($C603="","",YEAR($C603)&amp;"-"&amp;TEXT(MONTH($C603),"00"))</f>
        <v/>
      </c>
      <c r="E603" s="9" t="n"/>
      <c r="F603" s="9" t="n"/>
      <c r="G603" s="9" t="n"/>
      <c r="H603" s="24" t="n"/>
      <c r="I603" s="9" t="n"/>
      <c r="J603" s="24" t="n"/>
      <c r="K603" s="24" t="n"/>
      <c r="L603" s="24">
        <f>IF($H603="","",ROUND($H603*$J603-N($K603),2))</f>
        <v/>
      </c>
      <c r="M603" s="31" t="n"/>
      <c r="N603" s="24">
        <f>IF(OR($L603="",$M603=""),"",ROUND($L603-$L603/(1+$M603/100),2))</f>
        <v/>
      </c>
      <c r="O603" s="9" t="n"/>
      <c r="P603" s="9" t="n"/>
      <c r="Q603" s="9" t="n"/>
      <c r="R603" s="9" t="n"/>
      <c r="S603" s="9" t="n"/>
    </row>
    <row r="604">
      <c r="A604" s="9" t="n"/>
      <c r="B604" s="9" t="n"/>
      <c r="C604" s="30" t="n"/>
      <c r="D604" s="9">
        <f>IF($C604="","",YEAR($C604)&amp;"-"&amp;TEXT(MONTH($C604),"00"))</f>
        <v/>
      </c>
      <c r="E604" s="9" t="n"/>
      <c r="F604" s="9" t="n"/>
      <c r="G604" s="9" t="n"/>
      <c r="H604" s="24" t="n"/>
      <c r="I604" s="9" t="n"/>
      <c r="J604" s="24" t="n"/>
      <c r="K604" s="24" t="n"/>
      <c r="L604" s="24">
        <f>IF($H604="","",ROUND($H604*$J604-N($K604),2))</f>
        <v/>
      </c>
      <c r="M604" s="31" t="n"/>
      <c r="N604" s="24">
        <f>IF(OR($L604="",$M604=""),"",ROUND($L604-$L604/(1+$M604/100),2))</f>
        <v/>
      </c>
      <c r="O604" s="9" t="n"/>
      <c r="P604" s="9" t="n"/>
      <c r="Q604" s="9" t="n"/>
      <c r="R604" s="9" t="n"/>
      <c r="S604" s="9" t="n"/>
    </row>
    <row r="605">
      <c r="A605" s="9" t="n"/>
      <c r="B605" s="9" t="n"/>
      <c r="C605" s="30" t="n"/>
      <c r="D605" s="9">
        <f>IF($C605="","",YEAR($C605)&amp;"-"&amp;TEXT(MONTH($C605),"00"))</f>
        <v/>
      </c>
      <c r="E605" s="9" t="n"/>
      <c r="F605" s="9" t="n"/>
      <c r="G605" s="9" t="n"/>
      <c r="H605" s="24" t="n"/>
      <c r="I605" s="9" t="n"/>
      <c r="J605" s="24" t="n"/>
      <c r="K605" s="24" t="n"/>
      <c r="L605" s="24">
        <f>IF($H605="","",ROUND($H605*$J605-N($K605),2))</f>
        <v/>
      </c>
      <c r="M605" s="31" t="n"/>
      <c r="N605" s="24">
        <f>IF(OR($L605="",$M605=""),"",ROUND($L605-$L605/(1+$M605/100),2))</f>
        <v/>
      </c>
      <c r="O605" s="9" t="n"/>
      <c r="P605" s="9" t="n"/>
      <c r="Q605" s="9" t="n"/>
      <c r="R605" s="9" t="n"/>
      <c r="S605" s="9" t="n"/>
    </row>
    <row r="606">
      <c r="A606" s="9" t="n"/>
      <c r="B606" s="9" t="n"/>
      <c r="C606" s="30" t="n"/>
      <c r="D606" s="9">
        <f>IF($C606="","",YEAR($C606)&amp;"-"&amp;TEXT(MONTH($C606),"00"))</f>
        <v/>
      </c>
      <c r="E606" s="9" t="n"/>
      <c r="F606" s="9" t="n"/>
      <c r="G606" s="9" t="n"/>
      <c r="H606" s="24" t="n"/>
      <c r="I606" s="9" t="n"/>
      <c r="J606" s="24" t="n"/>
      <c r="K606" s="24" t="n"/>
      <c r="L606" s="24">
        <f>IF($H606="","",ROUND($H606*$J606-N($K606),2))</f>
        <v/>
      </c>
      <c r="M606" s="31" t="n"/>
      <c r="N606" s="24">
        <f>IF(OR($L606="",$M606=""),"",ROUND($L606-$L606/(1+$M606/100),2))</f>
        <v/>
      </c>
      <c r="O606" s="9" t="n"/>
      <c r="P606" s="9" t="n"/>
      <c r="Q606" s="9" t="n"/>
      <c r="R606" s="9" t="n"/>
      <c r="S606" s="9" t="n"/>
    </row>
    <row r="607">
      <c r="A607" s="9" t="n"/>
      <c r="B607" s="9" t="n"/>
      <c r="C607" s="30" t="n"/>
      <c r="D607" s="9">
        <f>IF($C607="","",YEAR($C607)&amp;"-"&amp;TEXT(MONTH($C607),"00"))</f>
        <v/>
      </c>
      <c r="E607" s="9" t="n"/>
      <c r="F607" s="9" t="n"/>
      <c r="G607" s="9" t="n"/>
      <c r="H607" s="24" t="n"/>
      <c r="I607" s="9" t="n"/>
      <c r="J607" s="24" t="n"/>
      <c r="K607" s="24" t="n"/>
      <c r="L607" s="24">
        <f>IF($H607="","",ROUND($H607*$J607-N($K607),2))</f>
        <v/>
      </c>
      <c r="M607" s="31" t="n"/>
      <c r="N607" s="24">
        <f>IF(OR($L607="",$M607=""),"",ROUND($L607-$L607/(1+$M607/100),2))</f>
        <v/>
      </c>
      <c r="O607" s="9" t="n"/>
      <c r="P607" s="9" t="n"/>
      <c r="Q607" s="9" t="n"/>
      <c r="R607" s="9" t="n"/>
      <c r="S607" s="9" t="n"/>
    </row>
    <row r="608">
      <c r="A608" s="9" t="n"/>
      <c r="B608" s="9" t="n"/>
      <c r="C608" s="30" t="n"/>
      <c r="D608" s="9">
        <f>IF($C608="","",YEAR($C608)&amp;"-"&amp;TEXT(MONTH($C608),"00"))</f>
        <v/>
      </c>
      <c r="E608" s="9" t="n"/>
      <c r="F608" s="9" t="n"/>
      <c r="G608" s="9" t="n"/>
      <c r="H608" s="24" t="n"/>
      <c r="I608" s="9" t="n"/>
      <c r="J608" s="24" t="n"/>
      <c r="K608" s="24" t="n"/>
      <c r="L608" s="24">
        <f>IF($H608="","",ROUND($H608*$J608-N($K608),2))</f>
        <v/>
      </c>
      <c r="M608" s="31" t="n"/>
      <c r="N608" s="24">
        <f>IF(OR($L608="",$M608=""),"",ROUND($L608-$L608/(1+$M608/100),2))</f>
        <v/>
      </c>
      <c r="O608" s="9" t="n"/>
      <c r="P608" s="9" t="n"/>
      <c r="Q608" s="9" t="n"/>
      <c r="R608" s="9" t="n"/>
      <c r="S608" s="9" t="n"/>
    </row>
    <row r="609">
      <c r="A609" s="9" t="n"/>
      <c r="B609" s="9" t="n"/>
      <c r="C609" s="30" t="n"/>
      <c r="D609" s="9">
        <f>IF($C609="","",YEAR($C609)&amp;"-"&amp;TEXT(MONTH($C609),"00"))</f>
        <v/>
      </c>
      <c r="E609" s="9" t="n"/>
      <c r="F609" s="9" t="n"/>
      <c r="G609" s="9" t="n"/>
      <c r="H609" s="24" t="n"/>
      <c r="I609" s="9" t="n"/>
      <c r="J609" s="24" t="n"/>
      <c r="K609" s="24" t="n"/>
      <c r="L609" s="24">
        <f>IF($H609="","",ROUND($H609*$J609-N($K609),2))</f>
        <v/>
      </c>
      <c r="M609" s="31" t="n"/>
      <c r="N609" s="24">
        <f>IF(OR($L609="",$M609=""),"",ROUND($L609-$L609/(1+$M609/100),2))</f>
        <v/>
      </c>
      <c r="O609" s="9" t="n"/>
      <c r="P609" s="9" t="n"/>
      <c r="Q609" s="9" t="n"/>
      <c r="R609" s="9" t="n"/>
      <c r="S609" s="9" t="n"/>
    </row>
    <row r="610">
      <c r="A610" s="9" t="n"/>
      <c r="B610" s="9" t="n"/>
      <c r="C610" s="30" t="n"/>
      <c r="D610" s="9">
        <f>IF($C610="","",YEAR($C610)&amp;"-"&amp;TEXT(MONTH($C610),"00"))</f>
        <v/>
      </c>
      <c r="E610" s="9" t="n"/>
      <c r="F610" s="9" t="n"/>
      <c r="G610" s="9" t="n"/>
      <c r="H610" s="24" t="n"/>
      <c r="I610" s="9" t="n"/>
      <c r="J610" s="24" t="n"/>
      <c r="K610" s="24" t="n"/>
      <c r="L610" s="24">
        <f>IF($H610="","",ROUND($H610*$J610-N($K610),2))</f>
        <v/>
      </c>
      <c r="M610" s="31" t="n"/>
      <c r="N610" s="24">
        <f>IF(OR($L610="",$M610=""),"",ROUND($L610-$L610/(1+$M610/100),2))</f>
        <v/>
      </c>
      <c r="O610" s="9" t="n"/>
      <c r="P610" s="9" t="n"/>
      <c r="Q610" s="9" t="n"/>
      <c r="R610" s="9" t="n"/>
      <c r="S610" s="9" t="n"/>
    </row>
    <row r="611">
      <c r="A611" s="9" t="n"/>
      <c r="B611" s="9" t="n"/>
      <c r="C611" s="30" t="n"/>
      <c r="D611" s="9">
        <f>IF($C611="","",YEAR($C611)&amp;"-"&amp;TEXT(MONTH($C611),"00"))</f>
        <v/>
      </c>
      <c r="E611" s="9" t="n"/>
      <c r="F611" s="9" t="n"/>
      <c r="G611" s="9" t="n"/>
      <c r="H611" s="24" t="n"/>
      <c r="I611" s="9" t="n"/>
      <c r="J611" s="24" t="n"/>
      <c r="K611" s="24" t="n"/>
      <c r="L611" s="24">
        <f>IF($H611="","",ROUND($H611*$J611-N($K611),2))</f>
        <v/>
      </c>
      <c r="M611" s="31" t="n"/>
      <c r="N611" s="24">
        <f>IF(OR($L611="",$M611=""),"",ROUND($L611-$L611/(1+$M611/100),2))</f>
        <v/>
      </c>
      <c r="O611" s="9" t="n"/>
      <c r="P611" s="9" t="n"/>
      <c r="Q611" s="9" t="n"/>
      <c r="R611" s="9" t="n"/>
      <c r="S611" s="9" t="n"/>
    </row>
    <row r="612">
      <c r="A612" s="9" t="n"/>
      <c r="B612" s="9" t="n"/>
      <c r="C612" s="30" t="n"/>
      <c r="D612" s="9">
        <f>IF($C612="","",YEAR($C612)&amp;"-"&amp;TEXT(MONTH($C612),"00"))</f>
        <v/>
      </c>
      <c r="E612" s="9" t="n"/>
      <c r="F612" s="9" t="n"/>
      <c r="G612" s="9" t="n"/>
      <c r="H612" s="24" t="n"/>
      <c r="I612" s="9" t="n"/>
      <c r="J612" s="24" t="n"/>
      <c r="K612" s="24" t="n"/>
      <c r="L612" s="24">
        <f>IF($H612="","",ROUND($H612*$J612-N($K612),2))</f>
        <v/>
      </c>
      <c r="M612" s="31" t="n"/>
      <c r="N612" s="24">
        <f>IF(OR($L612="",$M612=""),"",ROUND($L612-$L612/(1+$M612/100),2))</f>
        <v/>
      </c>
      <c r="O612" s="9" t="n"/>
      <c r="P612" s="9" t="n"/>
      <c r="Q612" s="9" t="n"/>
      <c r="R612" s="9" t="n"/>
      <c r="S612" s="9" t="n"/>
    </row>
    <row r="613">
      <c r="A613" s="9" t="n"/>
      <c r="B613" s="9" t="n"/>
      <c r="C613" s="30" t="n"/>
      <c r="D613" s="9">
        <f>IF($C613="","",YEAR($C613)&amp;"-"&amp;TEXT(MONTH($C613),"00"))</f>
        <v/>
      </c>
      <c r="E613" s="9" t="n"/>
      <c r="F613" s="9" t="n"/>
      <c r="G613" s="9" t="n"/>
      <c r="H613" s="24" t="n"/>
      <c r="I613" s="9" t="n"/>
      <c r="J613" s="24" t="n"/>
      <c r="K613" s="24" t="n"/>
      <c r="L613" s="24">
        <f>IF($H613="","",ROUND($H613*$J613-N($K613),2))</f>
        <v/>
      </c>
      <c r="M613" s="31" t="n"/>
      <c r="N613" s="24">
        <f>IF(OR($L613="",$M613=""),"",ROUND($L613-$L613/(1+$M613/100),2))</f>
        <v/>
      </c>
      <c r="O613" s="9" t="n"/>
      <c r="P613" s="9" t="n"/>
      <c r="Q613" s="9" t="n"/>
      <c r="R613" s="9" t="n"/>
      <c r="S613" s="9" t="n"/>
    </row>
    <row r="614">
      <c r="A614" s="9" t="n"/>
      <c r="B614" s="9" t="n"/>
      <c r="C614" s="30" t="n"/>
      <c r="D614" s="9">
        <f>IF($C614="","",YEAR($C614)&amp;"-"&amp;TEXT(MONTH($C614),"00"))</f>
        <v/>
      </c>
      <c r="E614" s="9" t="n"/>
      <c r="F614" s="9" t="n"/>
      <c r="G614" s="9" t="n"/>
      <c r="H614" s="24" t="n"/>
      <c r="I614" s="9" t="n"/>
      <c r="J614" s="24" t="n"/>
      <c r="K614" s="24" t="n"/>
      <c r="L614" s="24">
        <f>IF($H614="","",ROUND($H614*$J614-N($K614),2))</f>
        <v/>
      </c>
      <c r="M614" s="31" t="n"/>
      <c r="N614" s="24">
        <f>IF(OR($L614="",$M614=""),"",ROUND($L614-$L614/(1+$M614/100),2))</f>
        <v/>
      </c>
      <c r="O614" s="9" t="n"/>
      <c r="P614" s="9" t="n"/>
      <c r="Q614" s="9" t="n"/>
      <c r="R614" s="9" t="n"/>
      <c r="S614" s="9" t="n"/>
    </row>
    <row r="615">
      <c r="A615" s="9" t="n"/>
      <c r="B615" s="9" t="n"/>
      <c r="C615" s="30" t="n"/>
      <c r="D615" s="9">
        <f>IF($C615="","",YEAR($C615)&amp;"-"&amp;TEXT(MONTH($C615),"00"))</f>
        <v/>
      </c>
      <c r="E615" s="9" t="n"/>
      <c r="F615" s="9" t="n"/>
      <c r="G615" s="9" t="n"/>
      <c r="H615" s="24" t="n"/>
      <c r="I615" s="9" t="n"/>
      <c r="J615" s="24" t="n"/>
      <c r="K615" s="24" t="n"/>
      <c r="L615" s="24">
        <f>IF($H615="","",ROUND($H615*$J615-N($K615),2))</f>
        <v/>
      </c>
      <c r="M615" s="31" t="n"/>
      <c r="N615" s="24">
        <f>IF(OR($L615="",$M615=""),"",ROUND($L615-$L615/(1+$M615/100),2))</f>
        <v/>
      </c>
      <c r="O615" s="9" t="n"/>
      <c r="P615" s="9" t="n"/>
      <c r="Q615" s="9" t="n"/>
      <c r="R615" s="9" t="n"/>
      <c r="S615" s="9" t="n"/>
    </row>
    <row r="616">
      <c r="A616" s="9" t="n"/>
      <c r="B616" s="9" t="n"/>
      <c r="C616" s="30" t="n"/>
      <c r="D616" s="9">
        <f>IF($C616="","",YEAR($C616)&amp;"-"&amp;TEXT(MONTH($C616),"00"))</f>
        <v/>
      </c>
      <c r="E616" s="9" t="n"/>
      <c r="F616" s="9" t="n"/>
      <c r="G616" s="9" t="n"/>
      <c r="H616" s="24" t="n"/>
      <c r="I616" s="9" t="n"/>
      <c r="J616" s="24" t="n"/>
      <c r="K616" s="24" t="n"/>
      <c r="L616" s="24">
        <f>IF($H616="","",ROUND($H616*$J616-N($K616),2))</f>
        <v/>
      </c>
      <c r="M616" s="31" t="n"/>
      <c r="N616" s="24">
        <f>IF(OR($L616="",$M616=""),"",ROUND($L616-$L616/(1+$M616/100),2))</f>
        <v/>
      </c>
      <c r="O616" s="9" t="n"/>
      <c r="P616" s="9" t="n"/>
      <c r="Q616" s="9" t="n"/>
      <c r="R616" s="9" t="n"/>
      <c r="S616" s="9" t="n"/>
    </row>
    <row r="617">
      <c r="A617" s="9" t="n"/>
      <c r="B617" s="9" t="n"/>
      <c r="C617" s="30" t="n"/>
      <c r="D617" s="9">
        <f>IF($C617="","",YEAR($C617)&amp;"-"&amp;TEXT(MONTH($C617),"00"))</f>
        <v/>
      </c>
      <c r="E617" s="9" t="n"/>
      <c r="F617" s="9" t="n"/>
      <c r="G617" s="9" t="n"/>
      <c r="H617" s="24" t="n"/>
      <c r="I617" s="9" t="n"/>
      <c r="J617" s="24" t="n"/>
      <c r="K617" s="24" t="n"/>
      <c r="L617" s="24">
        <f>IF($H617="","",ROUND($H617*$J617-N($K617),2))</f>
        <v/>
      </c>
      <c r="M617" s="31" t="n"/>
      <c r="N617" s="24">
        <f>IF(OR($L617="",$M617=""),"",ROUND($L617-$L617/(1+$M617/100),2))</f>
        <v/>
      </c>
      <c r="O617" s="9" t="n"/>
      <c r="P617" s="9" t="n"/>
      <c r="Q617" s="9" t="n"/>
      <c r="R617" s="9" t="n"/>
      <c r="S617" s="9" t="n"/>
    </row>
    <row r="618">
      <c r="A618" s="9" t="n"/>
      <c r="B618" s="9" t="n"/>
      <c r="C618" s="30" t="n"/>
      <c r="D618" s="9">
        <f>IF($C618="","",YEAR($C618)&amp;"-"&amp;TEXT(MONTH($C618),"00"))</f>
        <v/>
      </c>
      <c r="E618" s="9" t="n"/>
      <c r="F618" s="9" t="n"/>
      <c r="G618" s="9" t="n"/>
      <c r="H618" s="24" t="n"/>
      <c r="I618" s="9" t="n"/>
      <c r="J618" s="24" t="n"/>
      <c r="K618" s="24" t="n"/>
      <c r="L618" s="24">
        <f>IF($H618="","",ROUND($H618*$J618-N($K618),2))</f>
        <v/>
      </c>
      <c r="M618" s="31" t="n"/>
      <c r="N618" s="24">
        <f>IF(OR($L618="",$M618=""),"",ROUND($L618-$L618/(1+$M618/100),2))</f>
        <v/>
      </c>
      <c r="O618" s="9" t="n"/>
      <c r="P618" s="9" t="n"/>
      <c r="Q618" s="9" t="n"/>
      <c r="R618" s="9" t="n"/>
      <c r="S618" s="9" t="n"/>
    </row>
    <row r="619">
      <c r="A619" s="9" t="n"/>
      <c r="B619" s="9" t="n"/>
      <c r="C619" s="30" t="n"/>
      <c r="D619" s="9">
        <f>IF($C619="","",YEAR($C619)&amp;"-"&amp;TEXT(MONTH($C619),"00"))</f>
        <v/>
      </c>
      <c r="E619" s="9" t="n"/>
      <c r="F619" s="9" t="n"/>
      <c r="G619" s="9" t="n"/>
      <c r="H619" s="24" t="n"/>
      <c r="I619" s="9" t="n"/>
      <c r="J619" s="24" t="n"/>
      <c r="K619" s="24" t="n"/>
      <c r="L619" s="24">
        <f>IF($H619="","",ROUND($H619*$J619-N($K619),2))</f>
        <v/>
      </c>
      <c r="M619" s="31" t="n"/>
      <c r="N619" s="24">
        <f>IF(OR($L619="",$M619=""),"",ROUND($L619-$L619/(1+$M619/100),2))</f>
        <v/>
      </c>
      <c r="O619" s="9" t="n"/>
      <c r="P619" s="9" t="n"/>
      <c r="Q619" s="9" t="n"/>
      <c r="R619" s="9" t="n"/>
      <c r="S619" s="9" t="n"/>
    </row>
    <row r="620">
      <c r="A620" s="9" t="n"/>
      <c r="B620" s="9" t="n"/>
      <c r="C620" s="30" t="n"/>
      <c r="D620" s="9">
        <f>IF($C620="","",YEAR($C620)&amp;"-"&amp;TEXT(MONTH($C620),"00"))</f>
        <v/>
      </c>
      <c r="E620" s="9" t="n"/>
      <c r="F620" s="9" t="n"/>
      <c r="G620" s="9" t="n"/>
      <c r="H620" s="24" t="n"/>
      <c r="I620" s="9" t="n"/>
      <c r="J620" s="24" t="n"/>
      <c r="K620" s="24" t="n"/>
      <c r="L620" s="24">
        <f>IF($H620="","",ROUND($H620*$J620-N($K620),2))</f>
        <v/>
      </c>
      <c r="M620" s="31" t="n"/>
      <c r="N620" s="24">
        <f>IF(OR($L620="",$M620=""),"",ROUND($L620-$L620/(1+$M620/100),2))</f>
        <v/>
      </c>
      <c r="O620" s="9" t="n"/>
      <c r="P620" s="9" t="n"/>
      <c r="Q620" s="9" t="n"/>
      <c r="R620" s="9" t="n"/>
      <c r="S620" s="9" t="n"/>
    </row>
    <row r="621">
      <c r="A621" s="9" t="n"/>
      <c r="B621" s="9" t="n"/>
      <c r="C621" s="30" t="n"/>
      <c r="D621" s="9">
        <f>IF($C621="","",YEAR($C621)&amp;"-"&amp;TEXT(MONTH($C621),"00"))</f>
        <v/>
      </c>
      <c r="E621" s="9" t="n"/>
      <c r="F621" s="9" t="n"/>
      <c r="G621" s="9" t="n"/>
      <c r="H621" s="24" t="n"/>
      <c r="I621" s="9" t="n"/>
      <c r="J621" s="24" t="n"/>
      <c r="K621" s="24" t="n"/>
      <c r="L621" s="24">
        <f>IF($H621="","",ROUND($H621*$J621-N($K621),2))</f>
        <v/>
      </c>
      <c r="M621" s="31" t="n"/>
      <c r="N621" s="24">
        <f>IF(OR($L621="",$M621=""),"",ROUND($L621-$L621/(1+$M621/100),2))</f>
        <v/>
      </c>
      <c r="O621" s="9" t="n"/>
      <c r="P621" s="9" t="n"/>
      <c r="Q621" s="9" t="n"/>
      <c r="R621" s="9" t="n"/>
      <c r="S621" s="9" t="n"/>
    </row>
    <row r="622">
      <c r="A622" s="9" t="n"/>
      <c r="B622" s="9" t="n"/>
      <c r="C622" s="30" t="n"/>
      <c r="D622" s="9">
        <f>IF($C622="","",YEAR($C622)&amp;"-"&amp;TEXT(MONTH($C622),"00"))</f>
        <v/>
      </c>
      <c r="E622" s="9" t="n"/>
      <c r="F622" s="9" t="n"/>
      <c r="G622" s="9" t="n"/>
      <c r="H622" s="24" t="n"/>
      <c r="I622" s="9" t="n"/>
      <c r="J622" s="24" t="n"/>
      <c r="K622" s="24" t="n"/>
      <c r="L622" s="24">
        <f>IF($H622="","",ROUND($H622*$J622-N($K622),2))</f>
        <v/>
      </c>
      <c r="M622" s="31" t="n"/>
      <c r="N622" s="24">
        <f>IF(OR($L622="",$M622=""),"",ROUND($L622-$L622/(1+$M622/100),2))</f>
        <v/>
      </c>
      <c r="O622" s="9" t="n"/>
      <c r="P622" s="9" t="n"/>
      <c r="Q622" s="9" t="n"/>
      <c r="R622" s="9" t="n"/>
      <c r="S622" s="9" t="n"/>
    </row>
    <row r="623">
      <c r="A623" s="9" t="n"/>
      <c r="B623" s="9" t="n"/>
      <c r="C623" s="30" t="n"/>
      <c r="D623" s="9">
        <f>IF($C623="","",YEAR($C623)&amp;"-"&amp;TEXT(MONTH($C623),"00"))</f>
        <v/>
      </c>
      <c r="E623" s="9" t="n"/>
      <c r="F623" s="9" t="n"/>
      <c r="G623" s="9" t="n"/>
      <c r="H623" s="24" t="n"/>
      <c r="I623" s="9" t="n"/>
      <c r="J623" s="24" t="n"/>
      <c r="K623" s="24" t="n"/>
      <c r="L623" s="24">
        <f>IF($H623="","",ROUND($H623*$J623-N($K623),2))</f>
        <v/>
      </c>
      <c r="M623" s="31" t="n"/>
      <c r="N623" s="24">
        <f>IF(OR($L623="",$M623=""),"",ROUND($L623-$L623/(1+$M623/100),2))</f>
        <v/>
      </c>
      <c r="O623" s="9" t="n"/>
      <c r="P623" s="9" t="n"/>
      <c r="Q623" s="9" t="n"/>
      <c r="R623" s="9" t="n"/>
      <c r="S623" s="9" t="n"/>
    </row>
    <row r="624">
      <c r="A624" s="9" t="n"/>
      <c r="B624" s="9" t="n"/>
      <c r="C624" s="30" t="n"/>
      <c r="D624" s="9">
        <f>IF($C624="","",YEAR($C624)&amp;"-"&amp;TEXT(MONTH($C624),"00"))</f>
        <v/>
      </c>
      <c r="E624" s="9" t="n"/>
      <c r="F624" s="9" t="n"/>
      <c r="G624" s="9" t="n"/>
      <c r="H624" s="24" t="n"/>
      <c r="I624" s="9" t="n"/>
      <c r="J624" s="24" t="n"/>
      <c r="K624" s="24" t="n"/>
      <c r="L624" s="24">
        <f>IF($H624="","",ROUND($H624*$J624-N($K624),2))</f>
        <v/>
      </c>
      <c r="M624" s="31" t="n"/>
      <c r="N624" s="24">
        <f>IF(OR($L624="",$M624=""),"",ROUND($L624-$L624/(1+$M624/100),2))</f>
        <v/>
      </c>
      <c r="O624" s="9" t="n"/>
      <c r="P624" s="9" t="n"/>
      <c r="Q624" s="9" t="n"/>
      <c r="R624" s="9" t="n"/>
      <c r="S624" s="9" t="n"/>
    </row>
    <row r="625">
      <c r="A625" s="9" t="n"/>
      <c r="B625" s="9" t="n"/>
      <c r="C625" s="30" t="n"/>
      <c r="D625" s="9">
        <f>IF($C625="","",YEAR($C625)&amp;"-"&amp;TEXT(MONTH($C625),"00"))</f>
        <v/>
      </c>
      <c r="E625" s="9" t="n"/>
      <c r="F625" s="9" t="n"/>
      <c r="G625" s="9" t="n"/>
      <c r="H625" s="24" t="n"/>
      <c r="I625" s="9" t="n"/>
      <c r="J625" s="24" t="n"/>
      <c r="K625" s="24" t="n"/>
      <c r="L625" s="24">
        <f>IF($H625="","",ROUND($H625*$J625-N($K625),2))</f>
        <v/>
      </c>
      <c r="M625" s="31" t="n"/>
      <c r="N625" s="24">
        <f>IF(OR($L625="",$M625=""),"",ROUND($L625-$L625/(1+$M625/100),2))</f>
        <v/>
      </c>
      <c r="O625" s="9" t="n"/>
      <c r="P625" s="9" t="n"/>
      <c r="Q625" s="9" t="n"/>
      <c r="R625" s="9" t="n"/>
      <c r="S625" s="9" t="n"/>
    </row>
    <row r="626">
      <c r="A626" s="9" t="n"/>
      <c r="B626" s="9" t="n"/>
      <c r="C626" s="30" t="n"/>
      <c r="D626" s="9">
        <f>IF($C626="","",YEAR($C626)&amp;"-"&amp;TEXT(MONTH($C626),"00"))</f>
        <v/>
      </c>
      <c r="E626" s="9" t="n"/>
      <c r="F626" s="9" t="n"/>
      <c r="G626" s="9" t="n"/>
      <c r="H626" s="24" t="n"/>
      <c r="I626" s="9" t="n"/>
      <c r="J626" s="24" t="n"/>
      <c r="K626" s="24" t="n"/>
      <c r="L626" s="24">
        <f>IF($H626="","",ROUND($H626*$J626-N($K626),2))</f>
        <v/>
      </c>
      <c r="M626" s="31" t="n"/>
      <c r="N626" s="24">
        <f>IF(OR($L626="",$M626=""),"",ROUND($L626-$L626/(1+$M626/100),2))</f>
        <v/>
      </c>
      <c r="O626" s="9" t="n"/>
      <c r="P626" s="9" t="n"/>
      <c r="Q626" s="9" t="n"/>
      <c r="R626" s="9" t="n"/>
      <c r="S626" s="9" t="n"/>
    </row>
    <row r="627">
      <c r="A627" s="9" t="n"/>
      <c r="B627" s="9" t="n"/>
      <c r="C627" s="30" t="n"/>
      <c r="D627" s="9">
        <f>IF($C627="","",YEAR($C627)&amp;"-"&amp;TEXT(MONTH($C627),"00"))</f>
        <v/>
      </c>
      <c r="E627" s="9" t="n"/>
      <c r="F627" s="9" t="n"/>
      <c r="G627" s="9" t="n"/>
      <c r="H627" s="24" t="n"/>
      <c r="I627" s="9" t="n"/>
      <c r="J627" s="24" t="n"/>
      <c r="K627" s="24" t="n"/>
      <c r="L627" s="24">
        <f>IF($H627="","",ROUND($H627*$J627-N($K627),2))</f>
        <v/>
      </c>
      <c r="M627" s="31" t="n"/>
      <c r="N627" s="24">
        <f>IF(OR($L627="",$M627=""),"",ROUND($L627-$L627/(1+$M627/100),2))</f>
        <v/>
      </c>
      <c r="O627" s="9" t="n"/>
      <c r="P627" s="9" t="n"/>
      <c r="Q627" s="9" t="n"/>
      <c r="R627" s="9" t="n"/>
      <c r="S627" s="9" t="n"/>
    </row>
    <row r="628">
      <c r="A628" s="9" t="n"/>
      <c r="B628" s="9" t="n"/>
      <c r="C628" s="30" t="n"/>
      <c r="D628" s="9">
        <f>IF($C628="","",YEAR($C628)&amp;"-"&amp;TEXT(MONTH($C628),"00"))</f>
        <v/>
      </c>
      <c r="E628" s="9" t="n"/>
      <c r="F628" s="9" t="n"/>
      <c r="G628" s="9" t="n"/>
      <c r="H628" s="24" t="n"/>
      <c r="I628" s="9" t="n"/>
      <c r="J628" s="24" t="n"/>
      <c r="K628" s="24" t="n"/>
      <c r="L628" s="24">
        <f>IF($H628="","",ROUND($H628*$J628-N($K628),2))</f>
        <v/>
      </c>
      <c r="M628" s="31" t="n"/>
      <c r="N628" s="24">
        <f>IF(OR($L628="",$M628=""),"",ROUND($L628-$L628/(1+$M628/100),2))</f>
        <v/>
      </c>
      <c r="O628" s="9" t="n"/>
      <c r="P628" s="9" t="n"/>
      <c r="Q628" s="9" t="n"/>
      <c r="R628" s="9" t="n"/>
      <c r="S628" s="9" t="n"/>
    </row>
    <row r="629">
      <c r="A629" s="9" t="n"/>
      <c r="B629" s="9" t="n"/>
      <c r="C629" s="30" t="n"/>
      <c r="D629" s="9">
        <f>IF($C629="","",YEAR($C629)&amp;"-"&amp;TEXT(MONTH($C629),"00"))</f>
        <v/>
      </c>
      <c r="E629" s="9" t="n"/>
      <c r="F629" s="9" t="n"/>
      <c r="G629" s="9" t="n"/>
      <c r="H629" s="24" t="n"/>
      <c r="I629" s="9" t="n"/>
      <c r="J629" s="24" t="n"/>
      <c r="K629" s="24" t="n"/>
      <c r="L629" s="24">
        <f>IF($H629="","",ROUND($H629*$J629-N($K629),2))</f>
        <v/>
      </c>
      <c r="M629" s="31" t="n"/>
      <c r="N629" s="24">
        <f>IF(OR($L629="",$M629=""),"",ROUND($L629-$L629/(1+$M629/100),2))</f>
        <v/>
      </c>
      <c r="O629" s="9" t="n"/>
      <c r="P629" s="9" t="n"/>
      <c r="Q629" s="9" t="n"/>
      <c r="R629" s="9" t="n"/>
      <c r="S629" s="9" t="n"/>
    </row>
    <row r="630">
      <c r="A630" s="9" t="n"/>
      <c r="B630" s="9" t="n"/>
      <c r="C630" s="30" t="n"/>
      <c r="D630" s="9">
        <f>IF($C630="","",YEAR($C630)&amp;"-"&amp;TEXT(MONTH($C630),"00"))</f>
        <v/>
      </c>
      <c r="E630" s="9" t="n"/>
      <c r="F630" s="9" t="n"/>
      <c r="G630" s="9" t="n"/>
      <c r="H630" s="24" t="n"/>
      <c r="I630" s="9" t="n"/>
      <c r="J630" s="24" t="n"/>
      <c r="K630" s="24" t="n"/>
      <c r="L630" s="24">
        <f>IF($H630="","",ROUND($H630*$J630-N($K630),2))</f>
        <v/>
      </c>
      <c r="M630" s="31" t="n"/>
      <c r="N630" s="24">
        <f>IF(OR($L630="",$M630=""),"",ROUND($L630-$L630/(1+$M630/100),2))</f>
        <v/>
      </c>
      <c r="O630" s="9" t="n"/>
      <c r="P630" s="9" t="n"/>
      <c r="Q630" s="9" t="n"/>
      <c r="R630" s="9" t="n"/>
      <c r="S630" s="9" t="n"/>
    </row>
    <row r="631">
      <c r="A631" s="9" t="n"/>
      <c r="B631" s="9" t="n"/>
      <c r="C631" s="30" t="n"/>
      <c r="D631" s="9">
        <f>IF($C631="","",YEAR($C631)&amp;"-"&amp;TEXT(MONTH($C631),"00"))</f>
        <v/>
      </c>
      <c r="E631" s="9" t="n"/>
      <c r="F631" s="9" t="n"/>
      <c r="G631" s="9" t="n"/>
      <c r="H631" s="24" t="n"/>
      <c r="I631" s="9" t="n"/>
      <c r="J631" s="24" t="n"/>
      <c r="K631" s="24" t="n"/>
      <c r="L631" s="24">
        <f>IF($H631="","",ROUND($H631*$J631-N($K631),2))</f>
        <v/>
      </c>
      <c r="M631" s="31" t="n"/>
      <c r="N631" s="24">
        <f>IF(OR($L631="",$M631=""),"",ROUND($L631-$L631/(1+$M631/100),2))</f>
        <v/>
      </c>
      <c r="O631" s="9" t="n"/>
      <c r="P631" s="9" t="n"/>
      <c r="Q631" s="9" t="n"/>
      <c r="R631" s="9" t="n"/>
      <c r="S631" s="9" t="n"/>
    </row>
    <row r="632">
      <c r="A632" s="9" t="n"/>
      <c r="B632" s="9" t="n"/>
      <c r="C632" s="30" t="n"/>
      <c r="D632" s="9">
        <f>IF($C632="","",YEAR($C632)&amp;"-"&amp;TEXT(MONTH($C632),"00"))</f>
        <v/>
      </c>
      <c r="E632" s="9" t="n"/>
      <c r="F632" s="9" t="n"/>
      <c r="G632" s="9" t="n"/>
      <c r="H632" s="24" t="n"/>
      <c r="I632" s="9" t="n"/>
      <c r="J632" s="24" t="n"/>
      <c r="K632" s="24" t="n"/>
      <c r="L632" s="24">
        <f>IF($H632="","",ROUND($H632*$J632-N($K632),2))</f>
        <v/>
      </c>
      <c r="M632" s="31" t="n"/>
      <c r="N632" s="24">
        <f>IF(OR($L632="",$M632=""),"",ROUND($L632-$L632/(1+$M632/100),2))</f>
        <v/>
      </c>
      <c r="O632" s="9" t="n"/>
      <c r="P632" s="9" t="n"/>
      <c r="Q632" s="9" t="n"/>
      <c r="R632" s="9" t="n"/>
      <c r="S632" s="9" t="n"/>
    </row>
    <row r="633">
      <c r="A633" s="9" t="n"/>
      <c r="B633" s="9" t="n"/>
      <c r="C633" s="30" t="n"/>
      <c r="D633" s="9">
        <f>IF($C633="","",YEAR($C633)&amp;"-"&amp;TEXT(MONTH($C633),"00"))</f>
        <v/>
      </c>
      <c r="E633" s="9" t="n"/>
      <c r="F633" s="9" t="n"/>
      <c r="G633" s="9" t="n"/>
      <c r="H633" s="24" t="n"/>
      <c r="I633" s="9" t="n"/>
      <c r="J633" s="24" t="n"/>
      <c r="K633" s="24" t="n"/>
      <c r="L633" s="24">
        <f>IF($H633="","",ROUND($H633*$J633-N($K633),2))</f>
        <v/>
      </c>
      <c r="M633" s="31" t="n"/>
      <c r="N633" s="24">
        <f>IF(OR($L633="",$M633=""),"",ROUND($L633-$L633/(1+$M633/100),2))</f>
        <v/>
      </c>
      <c r="O633" s="9" t="n"/>
      <c r="P633" s="9" t="n"/>
      <c r="Q633" s="9" t="n"/>
      <c r="R633" s="9" t="n"/>
      <c r="S633" s="9" t="n"/>
    </row>
    <row r="634">
      <c r="A634" s="9" t="n"/>
      <c r="B634" s="9" t="n"/>
      <c r="C634" s="30" t="n"/>
      <c r="D634" s="9">
        <f>IF($C634="","",YEAR($C634)&amp;"-"&amp;TEXT(MONTH($C634),"00"))</f>
        <v/>
      </c>
      <c r="E634" s="9" t="n"/>
      <c r="F634" s="9" t="n"/>
      <c r="G634" s="9" t="n"/>
      <c r="H634" s="24" t="n"/>
      <c r="I634" s="9" t="n"/>
      <c r="J634" s="24" t="n"/>
      <c r="K634" s="24" t="n"/>
      <c r="L634" s="24">
        <f>IF($H634="","",ROUND($H634*$J634-N($K634),2))</f>
        <v/>
      </c>
      <c r="M634" s="31" t="n"/>
      <c r="N634" s="24">
        <f>IF(OR($L634="",$M634=""),"",ROUND($L634-$L634/(1+$M634/100),2))</f>
        <v/>
      </c>
      <c r="O634" s="9" t="n"/>
      <c r="P634" s="9" t="n"/>
      <c r="Q634" s="9" t="n"/>
      <c r="R634" s="9" t="n"/>
      <c r="S634" s="9" t="n"/>
    </row>
    <row r="635">
      <c r="A635" s="9" t="n"/>
      <c r="B635" s="9" t="n"/>
      <c r="C635" s="30" t="n"/>
      <c r="D635" s="9">
        <f>IF($C635="","",YEAR($C635)&amp;"-"&amp;TEXT(MONTH($C635),"00"))</f>
        <v/>
      </c>
      <c r="E635" s="9" t="n"/>
      <c r="F635" s="9" t="n"/>
      <c r="G635" s="9" t="n"/>
      <c r="H635" s="24" t="n"/>
      <c r="I635" s="9" t="n"/>
      <c r="J635" s="24" t="n"/>
      <c r="K635" s="24" t="n"/>
      <c r="L635" s="24">
        <f>IF($H635="","",ROUND($H635*$J635-N($K635),2))</f>
        <v/>
      </c>
      <c r="M635" s="31" t="n"/>
      <c r="N635" s="24">
        <f>IF(OR($L635="",$M635=""),"",ROUND($L635-$L635/(1+$M635/100),2))</f>
        <v/>
      </c>
      <c r="O635" s="9" t="n"/>
      <c r="P635" s="9" t="n"/>
      <c r="Q635" s="9" t="n"/>
      <c r="R635" s="9" t="n"/>
      <c r="S635" s="9" t="n"/>
    </row>
    <row r="636">
      <c r="A636" s="9" t="n"/>
      <c r="B636" s="9" t="n"/>
      <c r="C636" s="30" t="n"/>
      <c r="D636" s="9">
        <f>IF($C636="","",YEAR($C636)&amp;"-"&amp;TEXT(MONTH($C636),"00"))</f>
        <v/>
      </c>
      <c r="E636" s="9" t="n"/>
      <c r="F636" s="9" t="n"/>
      <c r="G636" s="9" t="n"/>
      <c r="H636" s="24" t="n"/>
      <c r="I636" s="9" t="n"/>
      <c r="J636" s="24" t="n"/>
      <c r="K636" s="24" t="n"/>
      <c r="L636" s="24">
        <f>IF($H636="","",ROUND($H636*$J636-N($K636),2))</f>
        <v/>
      </c>
      <c r="M636" s="31" t="n"/>
      <c r="N636" s="24">
        <f>IF(OR($L636="",$M636=""),"",ROUND($L636-$L636/(1+$M636/100),2))</f>
        <v/>
      </c>
      <c r="O636" s="9" t="n"/>
      <c r="P636" s="9" t="n"/>
      <c r="Q636" s="9" t="n"/>
      <c r="R636" s="9" t="n"/>
      <c r="S636" s="9" t="n"/>
    </row>
    <row r="637">
      <c r="A637" s="9" t="n"/>
      <c r="B637" s="9" t="n"/>
      <c r="C637" s="30" t="n"/>
      <c r="D637" s="9">
        <f>IF($C637="","",YEAR($C637)&amp;"-"&amp;TEXT(MONTH($C637),"00"))</f>
        <v/>
      </c>
      <c r="E637" s="9" t="n"/>
      <c r="F637" s="9" t="n"/>
      <c r="G637" s="9" t="n"/>
      <c r="H637" s="24" t="n"/>
      <c r="I637" s="9" t="n"/>
      <c r="J637" s="24" t="n"/>
      <c r="K637" s="24" t="n"/>
      <c r="L637" s="24">
        <f>IF($H637="","",ROUND($H637*$J637-N($K637),2))</f>
        <v/>
      </c>
      <c r="M637" s="31" t="n"/>
      <c r="N637" s="24">
        <f>IF(OR($L637="",$M637=""),"",ROUND($L637-$L637/(1+$M637/100),2))</f>
        <v/>
      </c>
      <c r="O637" s="9" t="n"/>
      <c r="P637" s="9" t="n"/>
      <c r="Q637" s="9" t="n"/>
      <c r="R637" s="9" t="n"/>
      <c r="S637" s="9" t="n"/>
    </row>
    <row r="638">
      <c r="A638" s="9" t="n"/>
      <c r="B638" s="9" t="n"/>
      <c r="C638" s="30" t="n"/>
      <c r="D638" s="9">
        <f>IF($C638="","",YEAR($C638)&amp;"-"&amp;TEXT(MONTH($C638),"00"))</f>
        <v/>
      </c>
      <c r="E638" s="9" t="n"/>
      <c r="F638" s="9" t="n"/>
      <c r="G638" s="9" t="n"/>
      <c r="H638" s="24" t="n"/>
      <c r="I638" s="9" t="n"/>
      <c r="J638" s="24" t="n"/>
      <c r="K638" s="24" t="n"/>
      <c r="L638" s="24">
        <f>IF($H638="","",ROUND($H638*$J638-N($K638),2))</f>
        <v/>
      </c>
      <c r="M638" s="31" t="n"/>
      <c r="N638" s="24">
        <f>IF(OR($L638="",$M638=""),"",ROUND($L638-$L638/(1+$M638/100),2))</f>
        <v/>
      </c>
      <c r="O638" s="9" t="n"/>
      <c r="P638" s="9" t="n"/>
      <c r="Q638" s="9" t="n"/>
      <c r="R638" s="9" t="n"/>
      <c r="S638" s="9" t="n"/>
    </row>
    <row r="639">
      <c r="A639" s="9" t="n"/>
      <c r="B639" s="9" t="n"/>
      <c r="C639" s="30" t="n"/>
      <c r="D639" s="9">
        <f>IF($C639="","",YEAR($C639)&amp;"-"&amp;TEXT(MONTH($C639),"00"))</f>
        <v/>
      </c>
      <c r="E639" s="9" t="n"/>
      <c r="F639" s="9" t="n"/>
      <c r="G639" s="9" t="n"/>
      <c r="H639" s="24" t="n"/>
      <c r="I639" s="9" t="n"/>
      <c r="J639" s="24" t="n"/>
      <c r="K639" s="24" t="n"/>
      <c r="L639" s="24">
        <f>IF($H639="","",ROUND($H639*$J639-N($K639),2))</f>
        <v/>
      </c>
      <c r="M639" s="31" t="n"/>
      <c r="N639" s="24">
        <f>IF(OR($L639="",$M639=""),"",ROUND($L639-$L639/(1+$M639/100),2))</f>
        <v/>
      </c>
      <c r="O639" s="9" t="n"/>
      <c r="P639" s="9" t="n"/>
      <c r="Q639" s="9" t="n"/>
      <c r="R639" s="9" t="n"/>
      <c r="S639" s="9" t="n"/>
    </row>
    <row r="640">
      <c r="A640" s="9" t="n"/>
      <c r="B640" s="9" t="n"/>
      <c r="C640" s="30" t="n"/>
      <c r="D640" s="9">
        <f>IF($C640="","",YEAR($C640)&amp;"-"&amp;TEXT(MONTH($C640),"00"))</f>
        <v/>
      </c>
      <c r="E640" s="9" t="n"/>
      <c r="F640" s="9" t="n"/>
      <c r="G640" s="9" t="n"/>
      <c r="H640" s="24" t="n"/>
      <c r="I640" s="9" t="n"/>
      <c r="J640" s="24" t="n"/>
      <c r="K640" s="24" t="n"/>
      <c r="L640" s="24">
        <f>IF($H640="","",ROUND($H640*$J640-N($K640),2))</f>
        <v/>
      </c>
      <c r="M640" s="31" t="n"/>
      <c r="N640" s="24">
        <f>IF(OR($L640="",$M640=""),"",ROUND($L640-$L640/(1+$M640/100),2))</f>
        <v/>
      </c>
      <c r="O640" s="9" t="n"/>
      <c r="P640" s="9" t="n"/>
      <c r="Q640" s="9" t="n"/>
      <c r="R640" s="9" t="n"/>
      <c r="S640" s="9" t="n"/>
    </row>
    <row r="641">
      <c r="A641" s="9" t="n"/>
      <c r="B641" s="9" t="n"/>
      <c r="C641" s="30" t="n"/>
      <c r="D641" s="9">
        <f>IF($C641="","",YEAR($C641)&amp;"-"&amp;TEXT(MONTH($C641),"00"))</f>
        <v/>
      </c>
      <c r="E641" s="9" t="n"/>
      <c r="F641" s="9" t="n"/>
      <c r="G641" s="9" t="n"/>
      <c r="H641" s="24" t="n"/>
      <c r="I641" s="9" t="n"/>
      <c r="J641" s="24" t="n"/>
      <c r="K641" s="24" t="n"/>
      <c r="L641" s="24">
        <f>IF($H641="","",ROUND($H641*$J641-N($K641),2))</f>
        <v/>
      </c>
      <c r="M641" s="31" t="n"/>
      <c r="N641" s="24">
        <f>IF(OR($L641="",$M641=""),"",ROUND($L641-$L641/(1+$M641/100),2))</f>
        <v/>
      </c>
      <c r="O641" s="9" t="n"/>
      <c r="P641" s="9" t="n"/>
      <c r="Q641" s="9" t="n"/>
      <c r="R641" s="9" t="n"/>
      <c r="S641" s="9" t="n"/>
    </row>
    <row r="642">
      <c r="A642" s="9" t="n"/>
      <c r="B642" s="9" t="n"/>
      <c r="C642" s="30" t="n"/>
      <c r="D642" s="9">
        <f>IF($C642="","",YEAR($C642)&amp;"-"&amp;TEXT(MONTH($C642),"00"))</f>
        <v/>
      </c>
      <c r="E642" s="9" t="n"/>
      <c r="F642" s="9" t="n"/>
      <c r="G642" s="9" t="n"/>
      <c r="H642" s="24" t="n"/>
      <c r="I642" s="9" t="n"/>
      <c r="J642" s="24" t="n"/>
      <c r="K642" s="24" t="n"/>
      <c r="L642" s="24">
        <f>IF($H642="","",ROUND($H642*$J642-N($K642),2))</f>
        <v/>
      </c>
      <c r="M642" s="31" t="n"/>
      <c r="N642" s="24">
        <f>IF(OR($L642="",$M642=""),"",ROUND($L642-$L642/(1+$M642/100),2))</f>
        <v/>
      </c>
      <c r="O642" s="9" t="n"/>
      <c r="P642" s="9" t="n"/>
      <c r="Q642" s="9" t="n"/>
      <c r="R642" s="9" t="n"/>
      <c r="S642" s="9" t="n"/>
    </row>
    <row r="643">
      <c r="A643" s="9" t="n"/>
      <c r="B643" s="9" t="n"/>
      <c r="C643" s="30" t="n"/>
      <c r="D643" s="9">
        <f>IF($C643="","",YEAR($C643)&amp;"-"&amp;TEXT(MONTH($C643),"00"))</f>
        <v/>
      </c>
      <c r="E643" s="9" t="n"/>
      <c r="F643" s="9" t="n"/>
      <c r="G643" s="9" t="n"/>
      <c r="H643" s="24" t="n"/>
      <c r="I643" s="9" t="n"/>
      <c r="J643" s="24" t="n"/>
      <c r="K643" s="24" t="n"/>
      <c r="L643" s="24">
        <f>IF($H643="","",ROUND($H643*$J643-N($K643),2))</f>
        <v/>
      </c>
      <c r="M643" s="31" t="n"/>
      <c r="N643" s="24">
        <f>IF(OR($L643="",$M643=""),"",ROUND($L643-$L643/(1+$M643/100),2))</f>
        <v/>
      </c>
      <c r="O643" s="9" t="n"/>
      <c r="P643" s="9" t="n"/>
      <c r="Q643" s="9" t="n"/>
      <c r="R643" s="9" t="n"/>
      <c r="S643" s="9" t="n"/>
    </row>
    <row r="644">
      <c r="A644" s="9" t="n"/>
      <c r="B644" s="9" t="n"/>
      <c r="C644" s="30" t="n"/>
      <c r="D644" s="9">
        <f>IF($C644="","",YEAR($C644)&amp;"-"&amp;TEXT(MONTH($C644),"00"))</f>
        <v/>
      </c>
      <c r="E644" s="9" t="n"/>
      <c r="F644" s="9" t="n"/>
      <c r="G644" s="9" t="n"/>
      <c r="H644" s="24" t="n"/>
      <c r="I644" s="9" t="n"/>
      <c r="J644" s="24" t="n"/>
      <c r="K644" s="24" t="n"/>
      <c r="L644" s="24">
        <f>IF($H644="","",ROUND($H644*$J644-N($K644),2))</f>
        <v/>
      </c>
      <c r="M644" s="31" t="n"/>
      <c r="N644" s="24">
        <f>IF(OR($L644="",$M644=""),"",ROUND($L644-$L644/(1+$M644/100),2))</f>
        <v/>
      </c>
      <c r="O644" s="9" t="n"/>
      <c r="P644" s="9" t="n"/>
      <c r="Q644" s="9" t="n"/>
      <c r="R644" s="9" t="n"/>
      <c r="S644" s="9" t="n"/>
    </row>
    <row r="645">
      <c r="A645" s="9" t="n"/>
      <c r="B645" s="9" t="n"/>
      <c r="C645" s="30" t="n"/>
      <c r="D645" s="9">
        <f>IF($C645="","",YEAR($C645)&amp;"-"&amp;TEXT(MONTH($C645),"00"))</f>
        <v/>
      </c>
      <c r="E645" s="9" t="n"/>
      <c r="F645" s="9" t="n"/>
      <c r="G645" s="9" t="n"/>
      <c r="H645" s="24" t="n"/>
      <c r="I645" s="9" t="n"/>
      <c r="J645" s="24" t="n"/>
      <c r="K645" s="24" t="n"/>
      <c r="L645" s="24">
        <f>IF($H645="","",ROUND($H645*$J645-N($K645),2))</f>
        <v/>
      </c>
      <c r="M645" s="31" t="n"/>
      <c r="N645" s="24">
        <f>IF(OR($L645="",$M645=""),"",ROUND($L645-$L645/(1+$M645/100),2))</f>
        <v/>
      </c>
      <c r="O645" s="9" t="n"/>
      <c r="P645" s="9" t="n"/>
      <c r="Q645" s="9" t="n"/>
      <c r="R645" s="9" t="n"/>
      <c r="S645" s="9" t="n"/>
    </row>
    <row r="646">
      <c r="A646" s="9" t="n"/>
      <c r="B646" s="9" t="n"/>
      <c r="C646" s="30" t="n"/>
      <c r="D646" s="9">
        <f>IF($C646="","",YEAR($C646)&amp;"-"&amp;TEXT(MONTH($C646),"00"))</f>
        <v/>
      </c>
      <c r="E646" s="9" t="n"/>
      <c r="F646" s="9" t="n"/>
      <c r="G646" s="9" t="n"/>
      <c r="H646" s="24" t="n"/>
      <c r="I646" s="9" t="n"/>
      <c r="J646" s="24" t="n"/>
      <c r="K646" s="24" t="n"/>
      <c r="L646" s="24">
        <f>IF($H646="","",ROUND($H646*$J646-N($K646),2))</f>
        <v/>
      </c>
      <c r="M646" s="31" t="n"/>
      <c r="N646" s="24">
        <f>IF(OR($L646="",$M646=""),"",ROUND($L646-$L646/(1+$M646/100),2))</f>
        <v/>
      </c>
      <c r="O646" s="9" t="n"/>
      <c r="P646" s="9" t="n"/>
      <c r="Q646" s="9" t="n"/>
      <c r="R646" s="9" t="n"/>
      <c r="S646" s="9" t="n"/>
    </row>
    <row r="647">
      <c r="A647" s="9" t="n"/>
      <c r="B647" s="9" t="n"/>
      <c r="C647" s="30" t="n"/>
      <c r="D647" s="9">
        <f>IF($C647="","",YEAR($C647)&amp;"-"&amp;TEXT(MONTH($C647),"00"))</f>
        <v/>
      </c>
      <c r="E647" s="9" t="n"/>
      <c r="F647" s="9" t="n"/>
      <c r="G647" s="9" t="n"/>
      <c r="H647" s="24" t="n"/>
      <c r="I647" s="9" t="n"/>
      <c r="J647" s="24" t="n"/>
      <c r="K647" s="24" t="n"/>
      <c r="L647" s="24">
        <f>IF($H647="","",ROUND($H647*$J647-N($K647),2))</f>
        <v/>
      </c>
      <c r="M647" s="31" t="n"/>
      <c r="N647" s="24">
        <f>IF(OR($L647="",$M647=""),"",ROUND($L647-$L647/(1+$M647/100),2))</f>
        <v/>
      </c>
      <c r="O647" s="9" t="n"/>
      <c r="P647" s="9" t="n"/>
      <c r="Q647" s="9" t="n"/>
      <c r="R647" s="9" t="n"/>
      <c r="S647" s="9" t="n"/>
    </row>
    <row r="648">
      <c r="A648" s="9" t="n"/>
      <c r="B648" s="9" t="n"/>
      <c r="C648" s="30" t="n"/>
      <c r="D648" s="9">
        <f>IF($C648="","",YEAR($C648)&amp;"-"&amp;TEXT(MONTH($C648),"00"))</f>
        <v/>
      </c>
      <c r="E648" s="9" t="n"/>
      <c r="F648" s="9" t="n"/>
      <c r="G648" s="9" t="n"/>
      <c r="H648" s="24" t="n"/>
      <c r="I648" s="9" t="n"/>
      <c r="J648" s="24" t="n"/>
      <c r="K648" s="24" t="n"/>
      <c r="L648" s="24">
        <f>IF($H648="","",ROUND($H648*$J648-N($K648),2))</f>
        <v/>
      </c>
      <c r="M648" s="31" t="n"/>
      <c r="N648" s="24">
        <f>IF(OR($L648="",$M648=""),"",ROUND($L648-$L648/(1+$M648/100),2))</f>
        <v/>
      </c>
      <c r="O648" s="9" t="n"/>
      <c r="P648" s="9" t="n"/>
      <c r="Q648" s="9" t="n"/>
      <c r="R648" s="9" t="n"/>
      <c r="S648" s="9" t="n"/>
    </row>
    <row r="649">
      <c r="A649" s="9" t="n"/>
      <c r="B649" s="9" t="n"/>
      <c r="C649" s="30" t="n"/>
      <c r="D649" s="9">
        <f>IF($C649="","",YEAR($C649)&amp;"-"&amp;TEXT(MONTH($C649),"00"))</f>
        <v/>
      </c>
      <c r="E649" s="9" t="n"/>
      <c r="F649" s="9" t="n"/>
      <c r="G649" s="9" t="n"/>
      <c r="H649" s="24" t="n"/>
      <c r="I649" s="9" t="n"/>
      <c r="J649" s="24" t="n"/>
      <c r="K649" s="24" t="n"/>
      <c r="L649" s="24">
        <f>IF($H649="","",ROUND($H649*$J649-N($K649),2))</f>
        <v/>
      </c>
      <c r="M649" s="31" t="n"/>
      <c r="N649" s="24">
        <f>IF(OR($L649="",$M649=""),"",ROUND($L649-$L649/(1+$M649/100),2))</f>
        <v/>
      </c>
      <c r="O649" s="9" t="n"/>
      <c r="P649" s="9" t="n"/>
      <c r="Q649" s="9" t="n"/>
      <c r="R649" s="9" t="n"/>
      <c r="S649" s="9" t="n"/>
    </row>
    <row r="650">
      <c r="A650" s="9" t="n"/>
      <c r="B650" s="9" t="n"/>
      <c r="C650" s="30" t="n"/>
      <c r="D650" s="9">
        <f>IF($C650="","",YEAR($C650)&amp;"-"&amp;TEXT(MONTH($C650),"00"))</f>
        <v/>
      </c>
      <c r="E650" s="9" t="n"/>
      <c r="F650" s="9" t="n"/>
      <c r="G650" s="9" t="n"/>
      <c r="H650" s="24" t="n"/>
      <c r="I650" s="9" t="n"/>
      <c r="J650" s="24" t="n"/>
      <c r="K650" s="24" t="n"/>
      <c r="L650" s="24">
        <f>IF($H650="","",ROUND($H650*$J650-N($K650),2))</f>
        <v/>
      </c>
      <c r="M650" s="31" t="n"/>
      <c r="N650" s="24">
        <f>IF(OR($L650="",$M650=""),"",ROUND($L650-$L650/(1+$M650/100),2))</f>
        <v/>
      </c>
      <c r="O650" s="9" t="n"/>
      <c r="P650" s="9" t="n"/>
      <c r="Q650" s="9" t="n"/>
      <c r="R650" s="9" t="n"/>
      <c r="S650" s="9" t="n"/>
    </row>
    <row r="651">
      <c r="A651" s="9" t="n"/>
      <c r="B651" s="9" t="n"/>
      <c r="C651" s="30" t="n"/>
      <c r="D651" s="9">
        <f>IF($C651="","",YEAR($C651)&amp;"-"&amp;TEXT(MONTH($C651),"00"))</f>
        <v/>
      </c>
      <c r="E651" s="9" t="n"/>
      <c r="F651" s="9" t="n"/>
      <c r="G651" s="9" t="n"/>
      <c r="H651" s="24" t="n"/>
      <c r="I651" s="9" t="n"/>
      <c r="J651" s="24" t="n"/>
      <c r="K651" s="24" t="n"/>
      <c r="L651" s="24">
        <f>IF($H651="","",ROUND($H651*$J651-N($K651),2))</f>
        <v/>
      </c>
      <c r="M651" s="31" t="n"/>
      <c r="N651" s="24">
        <f>IF(OR($L651="",$M651=""),"",ROUND($L651-$L651/(1+$M651/100),2))</f>
        <v/>
      </c>
      <c r="O651" s="9" t="n"/>
      <c r="P651" s="9" t="n"/>
      <c r="Q651" s="9" t="n"/>
      <c r="R651" s="9" t="n"/>
      <c r="S651" s="9" t="n"/>
    </row>
    <row r="652">
      <c r="A652" s="9" t="n"/>
      <c r="B652" s="9" t="n"/>
      <c r="C652" s="30" t="n"/>
      <c r="D652" s="9">
        <f>IF($C652="","",YEAR($C652)&amp;"-"&amp;TEXT(MONTH($C652),"00"))</f>
        <v/>
      </c>
      <c r="E652" s="9" t="n"/>
      <c r="F652" s="9" t="n"/>
      <c r="G652" s="9" t="n"/>
      <c r="H652" s="24" t="n"/>
      <c r="I652" s="9" t="n"/>
      <c r="J652" s="24" t="n"/>
      <c r="K652" s="24" t="n"/>
      <c r="L652" s="24">
        <f>IF($H652="","",ROUND($H652*$J652-N($K652),2))</f>
        <v/>
      </c>
      <c r="M652" s="31" t="n"/>
      <c r="N652" s="24">
        <f>IF(OR($L652="",$M652=""),"",ROUND($L652-$L652/(1+$M652/100),2))</f>
        <v/>
      </c>
      <c r="O652" s="9" t="n"/>
      <c r="P652" s="9" t="n"/>
      <c r="Q652" s="9" t="n"/>
      <c r="R652" s="9" t="n"/>
      <c r="S652" s="9" t="n"/>
    </row>
    <row r="653">
      <c r="A653" s="9" t="n"/>
      <c r="B653" s="9" t="n"/>
      <c r="C653" s="30" t="n"/>
      <c r="D653" s="9">
        <f>IF($C653="","",YEAR($C653)&amp;"-"&amp;TEXT(MONTH($C653),"00"))</f>
        <v/>
      </c>
      <c r="E653" s="9" t="n"/>
      <c r="F653" s="9" t="n"/>
      <c r="G653" s="9" t="n"/>
      <c r="H653" s="24" t="n"/>
      <c r="I653" s="9" t="n"/>
      <c r="J653" s="24" t="n"/>
      <c r="K653" s="24" t="n"/>
      <c r="L653" s="24">
        <f>IF($H653="","",ROUND($H653*$J653-N($K653),2))</f>
        <v/>
      </c>
      <c r="M653" s="31" t="n"/>
      <c r="N653" s="24">
        <f>IF(OR($L653="",$M653=""),"",ROUND($L653-$L653/(1+$M653/100),2))</f>
        <v/>
      </c>
      <c r="O653" s="9" t="n"/>
      <c r="P653" s="9" t="n"/>
      <c r="Q653" s="9" t="n"/>
      <c r="R653" s="9" t="n"/>
      <c r="S653" s="9" t="n"/>
    </row>
    <row r="654">
      <c r="A654" s="9" t="n"/>
      <c r="B654" s="9" t="n"/>
      <c r="C654" s="30" t="n"/>
      <c r="D654" s="9">
        <f>IF($C654="","",YEAR($C654)&amp;"-"&amp;TEXT(MONTH($C654),"00"))</f>
        <v/>
      </c>
      <c r="E654" s="9" t="n"/>
      <c r="F654" s="9" t="n"/>
      <c r="G654" s="9" t="n"/>
      <c r="H654" s="24" t="n"/>
      <c r="I654" s="9" t="n"/>
      <c r="J654" s="24" t="n"/>
      <c r="K654" s="24" t="n"/>
      <c r="L654" s="24">
        <f>IF($H654="","",ROUND($H654*$J654-N($K654),2))</f>
        <v/>
      </c>
      <c r="M654" s="31" t="n"/>
      <c r="N654" s="24">
        <f>IF(OR($L654="",$M654=""),"",ROUND($L654-$L654/(1+$M654/100),2))</f>
        <v/>
      </c>
      <c r="O654" s="9" t="n"/>
      <c r="P654" s="9" t="n"/>
      <c r="Q654" s="9" t="n"/>
      <c r="R654" s="9" t="n"/>
      <c r="S654" s="9" t="n"/>
    </row>
    <row r="655">
      <c r="A655" s="9" t="n"/>
      <c r="B655" s="9" t="n"/>
      <c r="C655" s="30" t="n"/>
      <c r="D655" s="9">
        <f>IF($C655="","",YEAR($C655)&amp;"-"&amp;TEXT(MONTH($C655),"00"))</f>
        <v/>
      </c>
      <c r="E655" s="9" t="n"/>
      <c r="F655" s="9" t="n"/>
      <c r="G655" s="9" t="n"/>
      <c r="H655" s="24" t="n"/>
      <c r="I655" s="9" t="n"/>
      <c r="J655" s="24" t="n"/>
      <c r="K655" s="24" t="n"/>
      <c r="L655" s="24">
        <f>IF($H655="","",ROUND($H655*$J655-N($K655),2))</f>
        <v/>
      </c>
      <c r="M655" s="31" t="n"/>
      <c r="N655" s="24">
        <f>IF(OR($L655="",$M655=""),"",ROUND($L655-$L655/(1+$M655/100),2))</f>
        <v/>
      </c>
      <c r="O655" s="9" t="n"/>
      <c r="P655" s="9" t="n"/>
      <c r="Q655" s="9" t="n"/>
      <c r="R655" s="9" t="n"/>
      <c r="S655" s="9" t="n"/>
    </row>
    <row r="656">
      <c r="A656" s="9" t="n"/>
      <c r="B656" s="9" t="n"/>
      <c r="C656" s="30" t="n"/>
      <c r="D656" s="9">
        <f>IF($C656="","",YEAR($C656)&amp;"-"&amp;TEXT(MONTH($C656),"00"))</f>
        <v/>
      </c>
      <c r="E656" s="9" t="n"/>
      <c r="F656" s="9" t="n"/>
      <c r="G656" s="9" t="n"/>
      <c r="H656" s="24" t="n"/>
      <c r="I656" s="9" t="n"/>
      <c r="J656" s="24" t="n"/>
      <c r="K656" s="24" t="n"/>
      <c r="L656" s="24">
        <f>IF($H656="","",ROUND($H656*$J656-N($K656),2))</f>
        <v/>
      </c>
      <c r="M656" s="31" t="n"/>
      <c r="N656" s="24">
        <f>IF(OR($L656="",$M656=""),"",ROUND($L656-$L656/(1+$M656/100),2))</f>
        <v/>
      </c>
      <c r="O656" s="9" t="n"/>
      <c r="P656" s="9" t="n"/>
      <c r="Q656" s="9" t="n"/>
      <c r="R656" s="9" t="n"/>
      <c r="S656" s="9" t="n"/>
    </row>
    <row r="657">
      <c r="A657" s="9" t="n"/>
      <c r="B657" s="9" t="n"/>
      <c r="C657" s="30" t="n"/>
      <c r="D657" s="9">
        <f>IF($C657="","",YEAR($C657)&amp;"-"&amp;TEXT(MONTH($C657),"00"))</f>
        <v/>
      </c>
      <c r="E657" s="9" t="n"/>
      <c r="F657" s="9" t="n"/>
      <c r="G657" s="9" t="n"/>
      <c r="H657" s="24" t="n"/>
      <c r="I657" s="9" t="n"/>
      <c r="J657" s="24" t="n"/>
      <c r="K657" s="24" t="n"/>
      <c r="L657" s="24">
        <f>IF($H657="","",ROUND($H657*$J657-N($K657),2))</f>
        <v/>
      </c>
      <c r="M657" s="31" t="n"/>
      <c r="N657" s="24">
        <f>IF(OR($L657="",$M657=""),"",ROUND($L657-$L657/(1+$M657/100),2))</f>
        <v/>
      </c>
      <c r="O657" s="9" t="n"/>
      <c r="P657" s="9" t="n"/>
      <c r="Q657" s="9" t="n"/>
      <c r="R657" s="9" t="n"/>
      <c r="S657" s="9" t="n"/>
    </row>
    <row r="658">
      <c r="A658" s="9" t="n"/>
      <c r="B658" s="9" t="n"/>
      <c r="C658" s="30" t="n"/>
      <c r="D658" s="9">
        <f>IF($C658="","",YEAR($C658)&amp;"-"&amp;TEXT(MONTH($C658),"00"))</f>
        <v/>
      </c>
      <c r="E658" s="9" t="n"/>
      <c r="F658" s="9" t="n"/>
      <c r="G658" s="9" t="n"/>
      <c r="H658" s="24" t="n"/>
      <c r="I658" s="9" t="n"/>
      <c r="J658" s="24" t="n"/>
      <c r="K658" s="24" t="n"/>
      <c r="L658" s="24">
        <f>IF($H658="","",ROUND($H658*$J658-N($K658),2))</f>
        <v/>
      </c>
      <c r="M658" s="31" t="n"/>
      <c r="N658" s="24">
        <f>IF(OR($L658="",$M658=""),"",ROUND($L658-$L658/(1+$M658/100),2))</f>
        <v/>
      </c>
      <c r="O658" s="9" t="n"/>
      <c r="P658" s="9" t="n"/>
      <c r="Q658" s="9" t="n"/>
      <c r="R658" s="9" t="n"/>
      <c r="S658" s="9" t="n"/>
    </row>
    <row r="659">
      <c r="A659" s="9" t="n"/>
      <c r="B659" s="9" t="n"/>
      <c r="C659" s="30" t="n"/>
      <c r="D659" s="9">
        <f>IF($C659="","",YEAR($C659)&amp;"-"&amp;TEXT(MONTH($C659),"00"))</f>
        <v/>
      </c>
      <c r="E659" s="9" t="n"/>
      <c r="F659" s="9" t="n"/>
      <c r="G659" s="9" t="n"/>
      <c r="H659" s="24" t="n"/>
      <c r="I659" s="9" t="n"/>
      <c r="J659" s="24" t="n"/>
      <c r="K659" s="24" t="n"/>
      <c r="L659" s="24">
        <f>IF($H659="","",ROUND($H659*$J659-N($K659),2))</f>
        <v/>
      </c>
      <c r="M659" s="31" t="n"/>
      <c r="N659" s="24">
        <f>IF(OR($L659="",$M659=""),"",ROUND($L659-$L659/(1+$M659/100),2))</f>
        <v/>
      </c>
      <c r="O659" s="9" t="n"/>
      <c r="P659" s="9" t="n"/>
      <c r="Q659" s="9" t="n"/>
      <c r="R659" s="9" t="n"/>
      <c r="S659" s="9" t="n"/>
    </row>
    <row r="660">
      <c r="A660" s="9" t="n"/>
      <c r="B660" s="9" t="n"/>
      <c r="C660" s="30" t="n"/>
      <c r="D660" s="9">
        <f>IF($C660="","",YEAR($C660)&amp;"-"&amp;TEXT(MONTH($C660),"00"))</f>
        <v/>
      </c>
      <c r="E660" s="9" t="n"/>
      <c r="F660" s="9" t="n"/>
      <c r="G660" s="9" t="n"/>
      <c r="H660" s="24" t="n"/>
      <c r="I660" s="9" t="n"/>
      <c r="J660" s="24" t="n"/>
      <c r="K660" s="24" t="n"/>
      <c r="L660" s="24">
        <f>IF($H660="","",ROUND($H660*$J660-N($K660),2))</f>
        <v/>
      </c>
      <c r="M660" s="31" t="n"/>
      <c r="N660" s="24">
        <f>IF(OR($L660="",$M660=""),"",ROUND($L660-$L660/(1+$M660/100),2))</f>
        <v/>
      </c>
      <c r="O660" s="9" t="n"/>
      <c r="P660" s="9" t="n"/>
      <c r="Q660" s="9" t="n"/>
      <c r="R660" s="9" t="n"/>
      <c r="S660" s="9" t="n"/>
    </row>
    <row r="661">
      <c r="A661" s="9" t="n"/>
      <c r="B661" s="9" t="n"/>
      <c r="C661" s="30" t="n"/>
      <c r="D661" s="9">
        <f>IF($C661="","",YEAR($C661)&amp;"-"&amp;TEXT(MONTH($C661),"00"))</f>
        <v/>
      </c>
      <c r="E661" s="9" t="n"/>
      <c r="F661" s="9" t="n"/>
      <c r="G661" s="9" t="n"/>
      <c r="H661" s="24" t="n"/>
      <c r="I661" s="9" t="n"/>
      <c r="J661" s="24" t="n"/>
      <c r="K661" s="24" t="n"/>
      <c r="L661" s="24">
        <f>IF($H661="","",ROUND($H661*$J661-N($K661),2))</f>
        <v/>
      </c>
      <c r="M661" s="31" t="n"/>
      <c r="N661" s="24">
        <f>IF(OR($L661="",$M661=""),"",ROUND($L661-$L661/(1+$M661/100),2))</f>
        <v/>
      </c>
      <c r="O661" s="9" t="n"/>
      <c r="P661" s="9" t="n"/>
      <c r="Q661" s="9" t="n"/>
      <c r="R661" s="9" t="n"/>
      <c r="S661" s="9" t="n"/>
    </row>
    <row r="662">
      <c r="A662" s="9" t="n"/>
      <c r="B662" s="9" t="n"/>
      <c r="C662" s="30" t="n"/>
      <c r="D662" s="9">
        <f>IF($C662="","",YEAR($C662)&amp;"-"&amp;TEXT(MONTH($C662),"00"))</f>
        <v/>
      </c>
      <c r="E662" s="9" t="n"/>
      <c r="F662" s="9" t="n"/>
      <c r="G662" s="9" t="n"/>
      <c r="H662" s="24" t="n"/>
      <c r="I662" s="9" t="n"/>
      <c r="J662" s="24" t="n"/>
      <c r="K662" s="24" t="n"/>
      <c r="L662" s="24">
        <f>IF($H662="","",ROUND($H662*$J662-N($K662),2))</f>
        <v/>
      </c>
      <c r="M662" s="31" t="n"/>
      <c r="N662" s="24">
        <f>IF(OR($L662="",$M662=""),"",ROUND($L662-$L662/(1+$M662/100),2))</f>
        <v/>
      </c>
      <c r="O662" s="9" t="n"/>
      <c r="P662" s="9" t="n"/>
      <c r="Q662" s="9" t="n"/>
      <c r="R662" s="9" t="n"/>
      <c r="S662" s="9" t="n"/>
    </row>
    <row r="663">
      <c r="A663" s="9" t="n"/>
      <c r="B663" s="9" t="n"/>
      <c r="C663" s="30" t="n"/>
      <c r="D663" s="9">
        <f>IF($C663="","",YEAR($C663)&amp;"-"&amp;TEXT(MONTH($C663),"00"))</f>
        <v/>
      </c>
      <c r="E663" s="9" t="n"/>
      <c r="F663" s="9" t="n"/>
      <c r="G663" s="9" t="n"/>
      <c r="H663" s="24" t="n"/>
      <c r="I663" s="9" t="n"/>
      <c r="J663" s="24" t="n"/>
      <c r="K663" s="24" t="n"/>
      <c r="L663" s="24">
        <f>IF($H663="","",ROUND($H663*$J663-N($K663),2))</f>
        <v/>
      </c>
      <c r="M663" s="31" t="n"/>
      <c r="N663" s="24">
        <f>IF(OR($L663="",$M663=""),"",ROUND($L663-$L663/(1+$M663/100),2))</f>
        <v/>
      </c>
      <c r="O663" s="9" t="n"/>
      <c r="P663" s="9" t="n"/>
      <c r="Q663" s="9" t="n"/>
      <c r="R663" s="9" t="n"/>
      <c r="S663" s="9" t="n"/>
    </row>
    <row r="664">
      <c r="A664" s="9" t="n"/>
      <c r="B664" s="9" t="n"/>
      <c r="C664" s="30" t="n"/>
      <c r="D664" s="9">
        <f>IF($C664="","",YEAR($C664)&amp;"-"&amp;TEXT(MONTH($C664),"00"))</f>
        <v/>
      </c>
      <c r="E664" s="9" t="n"/>
      <c r="F664" s="9" t="n"/>
      <c r="G664" s="9" t="n"/>
      <c r="H664" s="24" t="n"/>
      <c r="I664" s="9" t="n"/>
      <c r="J664" s="24" t="n"/>
      <c r="K664" s="24" t="n"/>
      <c r="L664" s="24">
        <f>IF($H664="","",ROUND($H664*$J664-N($K664),2))</f>
        <v/>
      </c>
      <c r="M664" s="31" t="n"/>
      <c r="N664" s="24">
        <f>IF(OR($L664="",$M664=""),"",ROUND($L664-$L664/(1+$M664/100),2))</f>
        <v/>
      </c>
      <c r="O664" s="9" t="n"/>
      <c r="P664" s="9" t="n"/>
      <c r="Q664" s="9" t="n"/>
      <c r="R664" s="9" t="n"/>
      <c r="S664" s="9" t="n"/>
    </row>
    <row r="665">
      <c r="A665" s="9" t="n"/>
      <c r="B665" s="9" t="n"/>
      <c r="C665" s="30" t="n"/>
      <c r="D665" s="9">
        <f>IF($C665="","",YEAR($C665)&amp;"-"&amp;TEXT(MONTH($C665),"00"))</f>
        <v/>
      </c>
      <c r="E665" s="9" t="n"/>
      <c r="F665" s="9" t="n"/>
      <c r="G665" s="9" t="n"/>
      <c r="H665" s="24" t="n"/>
      <c r="I665" s="9" t="n"/>
      <c r="J665" s="24" t="n"/>
      <c r="K665" s="24" t="n"/>
      <c r="L665" s="24">
        <f>IF($H665="","",ROUND($H665*$J665-N($K665),2))</f>
        <v/>
      </c>
      <c r="M665" s="31" t="n"/>
      <c r="N665" s="24">
        <f>IF(OR($L665="",$M665=""),"",ROUND($L665-$L665/(1+$M665/100),2))</f>
        <v/>
      </c>
      <c r="O665" s="9" t="n"/>
      <c r="P665" s="9" t="n"/>
      <c r="Q665" s="9" t="n"/>
      <c r="R665" s="9" t="n"/>
      <c r="S665" s="9" t="n"/>
    </row>
    <row r="666">
      <c r="A666" s="9" t="n"/>
      <c r="B666" s="9" t="n"/>
      <c r="C666" s="30" t="n"/>
      <c r="D666" s="9">
        <f>IF($C666="","",YEAR($C666)&amp;"-"&amp;TEXT(MONTH($C666),"00"))</f>
        <v/>
      </c>
      <c r="E666" s="9" t="n"/>
      <c r="F666" s="9" t="n"/>
      <c r="G666" s="9" t="n"/>
      <c r="H666" s="24" t="n"/>
      <c r="I666" s="9" t="n"/>
      <c r="J666" s="24" t="n"/>
      <c r="K666" s="24" t="n"/>
      <c r="L666" s="24">
        <f>IF($H666="","",ROUND($H666*$J666-N($K666),2))</f>
        <v/>
      </c>
      <c r="M666" s="31" t="n"/>
      <c r="N666" s="24">
        <f>IF(OR($L666="",$M666=""),"",ROUND($L666-$L666/(1+$M666/100),2))</f>
        <v/>
      </c>
      <c r="O666" s="9" t="n"/>
      <c r="P666" s="9" t="n"/>
      <c r="Q666" s="9" t="n"/>
      <c r="R666" s="9" t="n"/>
      <c r="S666" s="9" t="n"/>
    </row>
    <row r="667">
      <c r="A667" s="9" t="n"/>
      <c r="B667" s="9" t="n"/>
      <c r="C667" s="30" t="n"/>
      <c r="D667" s="9">
        <f>IF($C667="","",YEAR($C667)&amp;"-"&amp;TEXT(MONTH($C667),"00"))</f>
        <v/>
      </c>
      <c r="E667" s="9" t="n"/>
      <c r="F667" s="9" t="n"/>
      <c r="G667" s="9" t="n"/>
      <c r="H667" s="24" t="n"/>
      <c r="I667" s="9" t="n"/>
      <c r="J667" s="24" t="n"/>
      <c r="K667" s="24" t="n"/>
      <c r="L667" s="24">
        <f>IF($H667="","",ROUND($H667*$J667-N($K667),2))</f>
        <v/>
      </c>
      <c r="M667" s="31" t="n"/>
      <c r="N667" s="24">
        <f>IF(OR($L667="",$M667=""),"",ROUND($L667-$L667/(1+$M667/100),2))</f>
        <v/>
      </c>
      <c r="O667" s="9" t="n"/>
      <c r="P667" s="9" t="n"/>
      <c r="Q667" s="9" t="n"/>
      <c r="R667" s="9" t="n"/>
      <c r="S667" s="9" t="n"/>
    </row>
    <row r="668">
      <c r="A668" s="9" t="n"/>
      <c r="B668" s="9" t="n"/>
      <c r="C668" s="30" t="n"/>
      <c r="D668" s="9">
        <f>IF($C668="","",YEAR($C668)&amp;"-"&amp;TEXT(MONTH($C668),"00"))</f>
        <v/>
      </c>
      <c r="E668" s="9" t="n"/>
      <c r="F668" s="9" t="n"/>
      <c r="G668" s="9" t="n"/>
      <c r="H668" s="24" t="n"/>
      <c r="I668" s="9" t="n"/>
      <c r="J668" s="24" t="n"/>
      <c r="K668" s="24" t="n"/>
      <c r="L668" s="24">
        <f>IF($H668="","",ROUND($H668*$J668-N($K668),2))</f>
        <v/>
      </c>
      <c r="M668" s="31" t="n"/>
      <c r="N668" s="24">
        <f>IF(OR($L668="",$M668=""),"",ROUND($L668-$L668/(1+$M668/100),2))</f>
        <v/>
      </c>
      <c r="O668" s="9" t="n"/>
      <c r="P668" s="9" t="n"/>
      <c r="Q668" s="9" t="n"/>
      <c r="R668" s="9" t="n"/>
      <c r="S668" s="9" t="n"/>
    </row>
    <row r="669">
      <c r="A669" s="9" t="n"/>
      <c r="B669" s="9" t="n"/>
      <c r="C669" s="30" t="n"/>
      <c r="D669" s="9">
        <f>IF($C669="","",YEAR($C669)&amp;"-"&amp;TEXT(MONTH($C669),"00"))</f>
        <v/>
      </c>
      <c r="E669" s="9" t="n"/>
      <c r="F669" s="9" t="n"/>
      <c r="G669" s="9" t="n"/>
      <c r="H669" s="24" t="n"/>
      <c r="I669" s="9" t="n"/>
      <c r="J669" s="24" t="n"/>
      <c r="K669" s="24" t="n"/>
      <c r="L669" s="24">
        <f>IF($H669="","",ROUND($H669*$J669-N($K669),2))</f>
        <v/>
      </c>
      <c r="M669" s="31" t="n"/>
      <c r="N669" s="24">
        <f>IF(OR($L669="",$M669=""),"",ROUND($L669-$L669/(1+$M669/100),2))</f>
        <v/>
      </c>
      <c r="O669" s="9" t="n"/>
      <c r="P669" s="9" t="n"/>
      <c r="Q669" s="9" t="n"/>
      <c r="R669" s="9" t="n"/>
      <c r="S669" s="9" t="n"/>
    </row>
    <row r="670">
      <c r="A670" s="9" t="n"/>
      <c r="B670" s="9" t="n"/>
      <c r="C670" s="30" t="n"/>
      <c r="D670" s="9">
        <f>IF($C670="","",YEAR($C670)&amp;"-"&amp;TEXT(MONTH($C670),"00"))</f>
        <v/>
      </c>
      <c r="E670" s="9" t="n"/>
      <c r="F670" s="9" t="n"/>
      <c r="G670" s="9" t="n"/>
      <c r="H670" s="24" t="n"/>
      <c r="I670" s="9" t="n"/>
      <c r="J670" s="24" t="n"/>
      <c r="K670" s="24" t="n"/>
      <c r="L670" s="24">
        <f>IF($H670="","",ROUND($H670*$J670-N($K670),2))</f>
        <v/>
      </c>
      <c r="M670" s="31" t="n"/>
      <c r="N670" s="24">
        <f>IF(OR($L670="",$M670=""),"",ROUND($L670-$L670/(1+$M670/100),2))</f>
        <v/>
      </c>
      <c r="O670" s="9" t="n"/>
      <c r="P670" s="9" t="n"/>
      <c r="Q670" s="9" t="n"/>
      <c r="R670" s="9" t="n"/>
      <c r="S670" s="9" t="n"/>
    </row>
    <row r="671">
      <c r="A671" s="9" t="n"/>
      <c r="B671" s="9" t="n"/>
      <c r="C671" s="30" t="n"/>
      <c r="D671" s="9">
        <f>IF($C671="","",YEAR($C671)&amp;"-"&amp;TEXT(MONTH($C671),"00"))</f>
        <v/>
      </c>
      <c r="E671" s="9" t="n"/>
      <c r="F671" s="9" t="n"/>
      <c r="G671" s="9" t="n"/>
      <c r="H671" s="24" t="n"/>
      <c r="I671" s="9" t="n"/>
      <c r="J671" s="24" t="n"/>
      <c r="K671" s="24" t="n"/>
      <c r="L671" s="24">
        <f>IF($H671="","",ROUND($H671*$J671-N($K671),2))</f>
        <v/>
      </c>
      <c r="M671" s="31" t="n"/>
      <c r="N671" s="24">
        <f>IF(OR($L671="",$M671=""),"",ROUND($L671-$L671/(1+$M671/100),2))</f>
        <v/>
      </c>
      <c r="O671" s="9" t="n"/>
      <c r="P671" s="9" t="n"/>
      <c r="Q671" s="9" t="n"/>
      <c r="R671" s="9" t="n"/>
      <c r="S671" s="9" t="n"/>
    </row>
    <row r="672">
      <c r="A672" s="9" t="n"/>
      <c r="B672" s="9" t="n"/>
      <c r="C672" s="30" t="n"/>
      <c r="D672" s="9">
        <f>IF($C672="","",YEAR($C672)&amp;"-"&amp;TEXT(MONTH($C672),"00"))</f>
        <v/>
      </c>
      <c r="E672" s="9" t="n"/>
      <c r="F672" s="9" t="n"/>
      <c r="G672" s="9" t="n"/>
      <c r="H672" s="24" t="n"/>
      <c r="I672" s="9" t="n"/>
      <c r="J672" s="24" t="n"/>
      <c r="K672" s="24" t="n"/>
      <c r="L672" s="24">
        <f>IF($H672="","",ROUND($H672*$J672-N($K672),2))</f>
        <v/>
      </c>
      <c r="M672" s="31" t="n"/>
      <c r="N672" s="24">
        <f>IF(OR($L672="",$M672=""),"",ROUND($L672-$L672/(1+$M672/100),2))</f>
        <v/>
      </c>
      <c r="O672" s="9" t="n"/>
      <c r="P672" s="9" t="n"/>
      <c r="Q672" s="9" t="n"/>
      <c r="R672" s="9" t="n"/>
      <c r="S672" s="9" t="n"/>
    </row>
    <row r="673">
      <c r="A673" s="9" t="n"/>
      <c r="B673" s="9" t="n"/>
      <c r="C673" s="30" t="n"/>
      <c r="D673" s="9">
        <f>IF($C673="","",YEAR($C673)&amp;"-"&amp;TEXT(MONTH($C673),"00"))</f>
        <v/>
      </c>
      <c r="E673" s="9" t="n"/>
      <c r="F673" s="9" t="n"/>
      <c r="G673" s="9" t="n"/>
      <c r="H673" s="24" t="n"/>
      <c r="I673" s="9" t="n"/>
      <c r="J673" s="24" t="n"/>
      <c r="K673" s="24" t="n"/>
      <c r="L673" s="24">
        <f>IF($H673="","",ROUND($H673*$J673-N($K673),2))</f>
        <v/>
      </c>
      <c r="M673" s="31" t="n"/>
      <c r="N673" s="24">
        <f>IF(OR($L673="",$M673=""),"",ROUND($L673-$L673/(1+$M673/100),2))</f>
        <v/>
      </c>
      <c r="O673" s="9" t="n"/>
      <c r="P673" s="9" t="n"/>
      <c r="Q673" s="9" t="n"/>
      <c r="R673" s="9" t="n"/>
      <c r="S673" s="9" t="n"/>
    </row>
    <row r="674">
      <c r="A674" s="9" t="n"/>
      <c r="B674" s="9" t="n"/>
      <c r="C674" s="30" t="n"/>
      <c r="D674" s="9">
        <f>IF($C674="","",YEAR($C674)&amp;"-"&amp;TEXT(MONTH($C674),"00"))</f>
        <v/>
      </c>
      <c r="E674" s="9" t="n"/>
      <c r="F674" s="9" t="n"/>
      <c r="G674" s="9" t="n"/>
      <c r="H674" s="24" t="n"/>
      <c r="I674" s="9" t="n"/>
      <c r="J674" s="24" t="n"/>
      <c r="K674" s="24" t="n"/>
      <c r="L674" s="24">
        <f>IF($H674="","",ROUND($H674*$J674-N($K674),2))</f>
        <v/>
      </c>
      <c r="M674" s="31" t="n"/>
      <c r="N674" s="24">
        <f>IF(OR($L674="",$M674=""),"",ROUND($L674-$L674/(1+$M674/100),2))</f>
        <v/>
      </c>
      <c r="O674" s="9" t="n"/>
      <c r="P674" s="9" t="n"/>
      <c r="Q674" s="9" t="n"/>
      <c r="R674" s="9" t="n"/>
      <c r="S674" s="9" t="n"/>
    </row>
    <row r="675">
      <c r="A675" s="9" t="n"/>
      <c r="B675" s="9" t="n"/>
      <c r="C675" s="30" t="n"/>
      <c r="D675" s="9">
        <f>IF($C675="","",YEAR($C675)&amp;"-"&amp;TEXT(MONTH($C675),"00"))</f>
        <v/>
      </c>
      <c r="E675" s="9" t="n"/>
      <c r="F675" s="9" t="n"/>
      <c r="G675" s="9" t="n"/>
      <c r="H675" s="24" t="n"/>
      <c r="I675" s="9" t="n"/>
      <c r="J675" s="24" t="n"/>
      <c r="K675" s="24" t="n"/>
      <c r="L675" s="24">
        <f>IF($H675="","",ROUND($H675*$J675-N($K675),2))</f>
        <v/>
      </c>
      <c r="M675" s="31" t="n"/>
      <c r="N675" s="24">
        <f>IF(OR($L675="",$M675=""),"",ROUND($L675-$L675/(1+$M675/100),2))</f>
        <v/>
      </c>
      <c r="O675" s="9" t="n"/>
      <c r="P675" s="9" t="n"/>
      <c r="Q675" s="9" t="n"/>
      <c r="R675" s="9" t="n"/>
      <c r="S675" s="9" t="n"/>
    </row>
    <row r="676">
      <c r="A676" s="9" t="n"/>
      <c r="B676" s="9" t="n"/>
      <c r="C676" s="30" t="n"/>
      <c r="D676" s="9">
        <f>IF($C676="","",YEAR($C676)&amp;"-"&amp;TEXT(MONTH($C676),"00"))</f>
        <v/>
      </c>
      <c r="E676" s="9" t="n"/>
      <c r="F676" s="9" t="n"/>
      <c r="G676" s="9" t="n"/>
      <c r="H676" s="24" t="n"/>
      <c r="I676" s="9" t="n"/>
      <c r="J676" s="24" t="n"/>
      <c r="K676" s="24" t="n"/>
      <c r="L676" s="24">
        <f>IF($H676="","",ROUND($H676*$J676-N($K676),2))</f>
        <v/>
      </c>
      <c r="M676" s="31" t="n"/>
      <c r="N676" s="24">
        <f>IF(OR($L676="",$M676=""),"",ROUND($L676-$L676/(1+$M676/100),2))</f>
        <v/>
      </c>
      <c r="O676" s="9" t="n"/>
      <c r="P676" s="9" t="n"/>
      <c r="Q676" s="9" t="n"/>
      <c r="R676" s="9" t="n"/>
      <c r="S676" s="9" t="n"/>
    </row>
    <row r="677">
      <c r="A677" s="9" t="n"/>
      <c r="B677" s="9" t="n"/>
      <c r="C677" s="30" t="n"/>
      <c r="D677" s="9">
        <f>IF($C677="","",YEAR($C677)&amp;"-"&amp;TEXT(MONTH($C677),"00"))</f>
        <v/>
      </c>
      <c r="E677" s="9" t="n"/>
      <c r="F677" s="9" t="n"/>
      <c r="G677" s="9" t="n"/>
      <c r="H677" s="24" t="n"/>
      <c r="I677" s="9" t="n"/>
      <c r="J677" s="24" t="n"/>
      <c r="K677" s="24" t="n"/>
      <c r="L677" s="24">
        <f>IF($H677="","",ROUND($H677*$J677-N($K677),2))</f>
        <v/>
      </c>
      <c r="M677" s="31" t="n"/>
      <c r="N677" s="24">
        <f>IF(OR($L677="",$M677=""),"",ROUND($L677-$L677/(1+$M677/100),2))</f>
        <v/>
      </c>
      <c r="O677" s="9" t="n"/>
      <c r="P677" s="9" t="n"/>
      <c r="Q677" s="9" t="n"/>
      <c r="R677" s="9" t="n"/>
      <c r="S677" s="9" t="n"/>
    </row>
    <row r="678">
      <c r="A678" s="9" t="n"/>
      <c r="B678" s="9" t="n"/>
      <c r="C678" s="30" t="n"/>
      <c r="D678" s="9">
        <f>IF($C678="","",YEAR($C678)&amp;"-"&amp;TEXT(MONTH($C678),"00"))</f>
        <v/>
      </c>
      <c r="E678" s="9" t="n"/>
      <c r="F678" s="9" t="n"/>
      <c r="G678" s="9" t="n"/>
      <c r="H678" s="24" t="n"/>
      <c r="I678" s="9" t="n"/>
      <c r="J678" s="24" t="n"/>
      <c r="K678" s="24" t="n"/>
      <c r="L678" s="24">
        <f>IF($H678="","",ROUND($H678*$J678-N($K678),2))</f>
        <v/>
      </c>
      <c r="M678" s="31" t="n"/>
      <c r="N678" s="24">
        <f>IF(OR($L678="",$M678=""),"",ROUND($L678-$L678/(1+$M678/100),2))</f>
        <v/>
      </c>
      <c r="O678" s="9" t="n"/>
      <c r="P678" s="9" t="n"/>
      <c r="Q678" s="9" t="n"/>
      <c r="R678" s="9" t="n"/>
      <c r="S678" s="9" t="n"/>
    </row>
    <row r="679">
      <c r="A679" s="9" t="n"/>
      <c r="B679" s="9" t="n"/>
      <c r="C679" s="30" t="n"/>
      <c r="D679" s="9">
        <f>IF($C679="","",YEAR($C679)&amp;"-"&amp;TEXT(MONTH($C679),"00"))</f>
        <v/>
      </c>
      <c r="E679" s="9" t="n"/>
      <c r="F679" s="9" t="n"/>
      <c r="G679" s="9" t="n"/>
      <c r="H679" s="24" t="n"/>
      <c r="I679" s="9" t="n"/>
      <c r="J679" s="24" t="n"/>
      <c r="K679" s="24" t="n"/>
      <c r="L679" s="24">
        <f>IF($H679="","",ROUND($H679*$J679-N($K679),2))</f>
        <v/>
      </c>
      <c r="M679" s="31" t="n"/>
      <c r="N679" s="24">
        <f>IF(OR($L679="",$M679=""),"",ROUND($L679-$L679/(1+$M679/100),2))</f>
        <v/>
      </c>
      <c r="O679" s="9" t="n"/>
      <c r="P679" s="9" t="n"/>
      <c r="Q679" s="9" t="n"/>
      <c r="R679" s="9" t="n"/>
      <c r="S679" s="9" t="n"/>
    </row>
    <row r="680">
      <c r="A680" s="9" t="n"/>
      <c r="B680" s="9" t="n"/>
      <c r="C680" s="30" t="n"/>
      <c r="D680" s="9">
        <f>IF($C680="","",YEAR($C680)&amp;"-"&amp;TEXT(MONTH($C680),"00"))</f>
        <v/>
      </c>
      <c r="E680" s="9" t="n"/>
      <c r="F680" s="9" t="n"/>
      <c r="G680" s="9" t="n"/>
      <c r="H680" s="24" t="n"/>
      <c r="I680" s="9" t="n"/>
      <c r="J680" s="24" t="n"/>
      <c r="K680" s="24" t="n"/>
      <c r="L680" s="24">
        <f>IF($H680="","",ROUND($H680*$J680-N($K680),2))</f>
        <v/>
      </c>
      <c r="M680" s="31" t="n"/>
      <c r="N680" s="24">
        <f>IF(OR($L680="",$M680=""),"",ROUND($L680-$L680/(1+$M680/100),2))</f>
        <v/>
      </c>
      <c r="O680" s="9" t="n"/>
      <c r="P680" s="9" t="n"/>
      <c r="Q680" s="9" t="n"/>
      <c r="R680" s="9" t="n"/>
      <c r="S680" s="9" t="n"/>
    </row>
    <row r="681">
      <c r="A681" s="9" t="n"/>
      <c r="B681" s="9" t="n"/>
      <c r="C681" s="30" t="n"/>
      <c r="D681" s="9">
        <f>IF($C681="","",YEAR($C681)&amp;"-"&amp;TEXT(MONTH($C681),"00"))</f>
        <v/>
      </c>
      <c r="E681" s="9" t="n"/>
      <c r="F681" s="9" t="n"/>
      <c r="G681" s="9" t="n"/>
      <c r="H681" s="24" t="n"/>
      <c r="I681" s="9" t="n"/>
      <c r="J681" s="24" t="n"/>
      <c r="K681" s="24" t="n"/>
      <c r="L681" s="24">
        <f>IF($H681="","",ROUND($H681*$J681-N($K681),2))</f>
        <v/>
      </c>
      <c r="M681" s="31" t="n"/>
      <c r="N681" s="24">
        <f>IF(OR($L681="",$M681=""),"",ROUND($L681-$L681/(1+$M681/100),2))</f>
        <v/>
      </c>
      <c r="O681" s="9" t="n"/>
      <c r="P681" s="9" t="n"/>
      <c r="Q681" s="9" t="n"/>
      <c r="R681" s="9" t="n"/>
      <c r="S681" s="9" t="n"/>
    </row>
    <row r="682">
      <c r="A682" s="9" t="n"/>
      <c r="B682" s="9" t="n"/>
      <c r="C682" s="30" t="n"/>
      <c r="D682" s="9">
        <f>IF($C682="","",YEAR($C682)&amp;"-"&amp;TEXT(MONTH($C682),"00"))</f>
        <v/>
      </c>
      <c r="E682" s="9" t="n"/>
      <c r="F682" s="9" t="n"/>
      <c r="G682" s="9" t="n"/>
      <c r="H682" s="24" t="n"/>
      <c r="I682" s="9" t="n"/>
      <c r="J682" s="24" t="n"/>
      <c r="K682" s="24" t="n"/>
      <c r="L682" s="24">
        <f>IF($H682="","",ROUND($H682*$J682-N($K682),2))</f>
        <v/>
      </c>
      <c r="M682" s="31" t="n"/>
      <c r="N682" s="24">
        <f>IF(OR($L682="",$M682=""),"",ROUND($L682-$L682/(1+$M682/100),2))</f>
        <v/>
      </c>
      <c r="O682" s="9" t="n"/>
      <c r="P682" s="9" t="n"/>
      <c r="Q682" s="9" t="n"/>
      <c r="R682" s="9" t="n"/>
      <c r="S682" s="9" t="n"/>
    </row>
    <row r="683">
      <c r="A683" s="9" t="n"/>
      <c r="B683" s="9" t="n"/>
      <c r="C683" s="30" t="n"/>
      <c r="D683" s="9">
        <f>IF($C683="","",YEAR($C683)&amp;"-"&amp;TEXT(MONTH($C683),"00"))</f>
        <v/>
      </c>
      <c r="E683" s="9" t="n"/>
      <c r="F683" s="9" t="n"/>
      <c r="G683" s="9" t="n"/>
      <c r="H683" s="24" t="n"/>
      <c r="I683" s="9" t="n"/>
      <c r="J683" s="24" t="n"/>
      <c r="K683" s="24" t="n"/>
      <c r="L683" s="24">
        <f>IF($H683="","",ROUND($H683*$J683-N($K683),2))</f>
        <v/>
      </c>
      <c r="M683" s="31" t="n"/>
      <c r="N683" s="24">
        <f>IF(OR($L683="",$M683=""),"",ROUND($L683-$L683/(1+$M683/100),2))</f>
        <v/>
      </c>
      <c r="O683" s="9" t="n"/>
      <c r="P683" s="9" t="n"/>
      <c r="Q683" s="9" t="n"/>
      <c r="R683" s="9" t="n"/>
      <c r="S683" s="9" t="n"/>
    </row>
    <row r="684">
      <c r="A684" s="9" t="n"/>
      <c r="B684" s="9" t="n"/>
      <c r="C684" s="30" t="n"/>
      <c r="D684" s="9">
        <f>IF($C684="","",YEAR($C684)&amp;"-"&amp;TEXT(MONTH($C684),"00"))</f>
        <v/>
      </c>
      <c r="E684" s="9" t="n"/>
      <c r="F684" s="9" t="n"/>
      <c r="G684" s="9" t="n"/>
      <c r="H684" s="24" t="n"/>
      <c r="I684" s="9" t="n"/>
      <c r="J684" s="24" t="n"/>
      <c r="K684" s="24" t="n"/>
      <c r="L684" s="24">
        <f>IF($H684="","",ROUND($H684*$J684-N($K684),2))</f>
        <v/>
      </c>
      <c r="M684" s="31" t="n"/>
      <c r="N684" s="24">
        <f>IF(OR($L684="",$M684=""),"",ROUND($L684-$L684/(1+$M684/100),2))</f>
        <v/>
      </c>
      <c r="O684" s="9" t="n"/>
      <c r="P684" s="9" t="n"/>
      <c r="Q684" s="9" t="n"/>
      <c r="R684" s="9" t="n"/>
      <c r="S684" s="9" t="n"/>
    </row>
    <row r="685">
      <c r="A685" s="9" t="n"/>
      <c r="B685" s="9" t="n"/>
      <c r="C685" s="30" t="n"/>
      <c r="D685" s="9">
        <f>IF($C685="","",YEAR($C685)&amp;"-"&amp;TEXT(MONTH($C685),"00"))</f>
        <v/>
      </c>
      <c r="E685" s="9" t="n"/>
      <c r="F685" s="9" t="n"/>
      <c r="G685" s="9" t="n"/>
      <c r="H685" s="24" t="n"/>
      <c r="I685" s="9" t="n"/>
      <c r="J685" s="24" t="n"/>
      <c r="K685" s="24" t="n"/>
      <c r="L685" s="24">
        <f>IF($H685="","",ROUND($H685*$J685-N($K685),2))</f>
        <v/>
      </c>
      <c r="M685" s="31" t="n"/>
      <c r="N685" s="24">
        <f>IF(OR($L685="",$M685=""),"",ROUND($L685-$L685/(1+$M685/100),2))</f>
        <v/>
      </c>
      <c r="O685" s="9" t="n"/>
      <c r="P685" s="9" t="n"/>
      <c r="Q685" s="9" t="n"/>
      <c r="R685" s="9" t="n"/>
      <c r="S685" s="9" t="n"/>
    </row>
    <row r="686">
      <c r="A686" s="9" t="n"/>
      <c r="B686" s="9" t="n"/>
      <c r="C686" s="30" t="n"/>
      <c r="D686" s="9">
        <f>IF($C686="","",YEAR($C686)&amp;"-"&amp;TEXT(MONTH($C686),"00"))</f>
        <v/>
      </c>
      <c r="E686" s="9" t="n"/>
      <c r="F686" s="9" t="n"/>
      <c r="G686" s="9" t="n"/>
      <c r="H686" s="24" t="n"/>
      <c r="I686" s="9" t="n"/>
      <c r="J686" s="24" t="n"/>
      <c r="K686" s="24" t="n"/>
      <c r="L686" s="24">
        <f>IF($H686="","",ROUND($H686*$J686-N($K686),2))</f>
        <v/>
      </c>
      <c r="M686" s="31" t="n"/>
      <c r="N686" s="24">
        <f>IF(OR($L686="",$M686=""),"",ROUND($L686-$L686/(1+$M686/100),2))</f>
        <v/>
      </c>
      <c r="O686" s="9" t="n"/>
      <c r="P686" s="9" t="n"/>
      <c r="Q686" s="9" t="n"/>
      <c r="R686" s="9" t="n"/>
      <c r="S686" s="9" t="n"/>
    </row>
    <row r="687">
      <c r="A687" s="9" t="n"/>
      <c r="B687" s="9" t="n"/>
      <c r="C687" s="30" t="n"/>
      <c r="D687" s="9">
        <f>IF($C687="","",YEAR($C687)&amp;"-"&amp;TEXT(MONTH($C687),"00"))</f>
        <v/>
      </c>
      <c r="E687" s="9" t="n"/>
      <c r="F687" s="9" t="n"/>
      <c r="G687" s="9" t="n"/>
      <c r="H687" s="24" t="n"/>
      <c r="I687" s="9" t="n"/>
      <c r="J687" s="24" t="n"/>
      <c r="K687" s="24" t="n"/>
      <c r="L687" s="24">
        <f>IF($H687="","",ROUND($H687*$J687-N($K687),2))</f>
        <v/>
      </c>
      <c r="M687" s="31" t="n"/>
      <c r="N687" s="24">
        <f>IF(OR($L687="",$M687=""),"",ROUND($L687-$L687/(1+$M687/100),2))</f>
        <v/>
      </c>
      <c r="O687" s="9" t="n"/>
      <c r="P687" s="9" t="n"/>
      <c r="Q687" s="9" t="n"/>
      <c r="R687" s="9" t="n"/>
      <c r="S687" s="9" t="n"/>
    </row>
    <row r="688">
      <c r="A688" s="9" t="n"/>
      <c r="B688" s="9" t="n"/>
      <c r="C688" s="30" t="n"/>
      <c r="D688" s="9">
        <f>IF($C688="","",YEAR($C688)&amp;"-"&amp;TEXT(MONTH($C688),"00"))</f>
        <v/>
      </c>
      <c r="E688" s="9" t="n"/>
      <c r="F688" s="9" t="n"/>
      <c r="G688" s="9" t="n"/>
      <c r="H688" s="24" t="n"/>
      <c r="I688" s="9" t="n"/>
      <c r="J688" s="24" t="n"/>
      <c r="K688" s="24" t="n"/>
      <c r="L688" s="24">
        <f>IF($H688="","",ROUND($H688*$J688-N($K688),2))</f>
        <v/>
      </c>
      <c r="M688" s="31" t="n"/>
      <c r="N688" s="24">
        <f>IF(OR($L688="",$M688=""),"",ROUND($L688-$L688/(1+$M688/100),2))</f>
        <v/>
      </c>
      <c r="O688" s="9" t="n"/>
      <c r="P688" s="9" t="n"/>
      <c r="Q688" s="9" t="n"/>
      <c r="R688" s="9" t="n"/>
      <c r="S688" s="9" t="n"/>
    </row>
    <row r="689">
      <c r="A689" s="9" t="n"/>
      <c r="B689" s="9" t="n"/>
      <c r="C689" s="30" t="n"/>
      <c r="D689" s="9">
        <f>IF($C689="","",YEAR($C689)&amp;"-"&amp;TEXT(MONTH($C689),"00"))</f>
        <v/>
      </c>
      <c r="E689" s="9" t="n"/>
      <c r="F689" s="9" t="n"/>
      <c r="G689" s="9" t="n"/>
      <c r="H689" s="24" t="n"/>
      <c r="I689" s="9" t="n"/>
      <c r="J689" s="24" t="n"/>
      <c r="K689" s="24" t="n"/>
      <c r="L689" s="24">
        <f>IF($H689="","",ROUND($H689*$J689-N($K689),2))</f>
        <v/>
      </c>
      <c r="M689" s="31" t="n"/>
      <c r="N689" s="24">
        <f>IF(OR($L689="",$M689=""),"",ROUND($L689-$L689/(1+$M689/100),2))</f>
        <v/>
      </c>
      <c r="O689" s="9" t="n"/>
      <c r="P689" s="9" t="n"/>
      <c r="Q689" s="9" t="n"/>
      <c r="R689" s="9" t="n"/>
      <c r="S689" s="9" t="n"/>
    </row>
    <row r="690">
      <c r="A690" s="9" t="n"/>
      <c r="B690" s="9" t="n"/>
      <c r="C690" s="30" t="n"/>
      <c r="D690" s="9">
        <f>IF($C690="","",YEAR($C690)&amp;"-"&amp;TEXT(MONTH($C690),"00"))</f>
        <v/>
      </c>
      <c r="E690" s="9" t="n"/>
      <c r="F690" s="9" t="n"/>
      <c r="G690" s="9" t="n"/>
      <c r="H690" s="24" t="n"/>
      <c r="I690" s="9" t="n"/>
      <c r="J690" s="24" t="n"/>
      <c r="K690" s="24" t="n"/>
      <c r="L690" s="24">
        <f>IF($H690="","",ROUND($H690*$J690-N($K690),2))</f>
        <v/>
      </c>
      <c r="M690" s="31" t="n"/>
      <c r="N690" s="24">
        <f>IF(OR($L690="",$M690=""),"",ROUND($L690-$L690/(1+$M690/100),2))</f>
        <v/>
      </c>
      <c r="O690" s="9" t="n"/>
      <c r="P690" s="9" t="n"/>
      <c r="Q690" s="9" t="n"/>
      <c r="R690" s="9" t="n"/>
      <c r="S690" s="9" t="n"/>
    </row>
    <row r="691">
      <c r="A691" s="9" t="n"/>
      <c r="B691" s="9" t="n"/>
      <c r="C691" s="30" t="n"/>
      <c r="D691" s="9">
        <f>IF($C691="","",YEAR($C691)&amp;"-"&amp;TEXT(MONTH($C691),"00"))</f>
        <v/>
      </c>
      <c r="E691" s="9" t="n"/>
      <c r="F691" s="9" t="n"/>
      <c r="G691" s="9" t="n"/>
      <c r="H691" s="24" t="n"/>
      <c r="I691" s="9" t="n"/>
      <c r="J691" s="24" t="n"/>
      <c r="K691" s="24" t="n"/>
      <c r="L691" s="24">
        <f>IF($H691="","",ROUND($H691*$J691-N($K691),2))</f>
        <v/>
      </c>
      <c r="M691" s="31" t="n"/>
      <c r="N691" s="24">
        <f>IF(OR($L691="",$M691=""),"",ROUND($L691-$L691/(1+$M691/100),2))</f>
        <v/>
      </c>
      <c r="O691" s="9" t="n"/>
      <c r="P691" s="9" t="n"/>
      <c r="Q691" s="9" t="n"/>
      <c r="R691" s="9" t="n"/>
      <c r="S691" s="9" t="n"/>
    </row>
    <row r="692">
      <c r="A692" s="9" t="n"/>
      <c r="B692" s="9" t="n"/>
      <c r="C692" s="30" t="n"/>
      <c r="D692" s="9">
        <f>IF($C692="","",YEAR($C692)&amp;"-"&amp;TEXT(MONTH($C692),"00"))</f>
        <v/>
      </c>
      <c r="E692" s="9" t="n"/>
      <c r="F692" s="9" t="n"/>
      <c r="G692" s="9" t="n"/>
      <c r="H692" s="24" t="n"/>
      <c r="I692" s="9" t="n"/>
      <c r="J692" s="24" t="n"/>
      <c r="K692" s="24" t="n"/>
      <c r="L692" s="24">
        <f>IF($H692="","",ROUND($H692*$J692-N($K692),2))</f>
        <v/>
      </c>
      <c r="M692" s="31" t="n"/>
      <c r="N692" s="24">
        <f>IF(OR($L692="",$M692=""),"",ROUND($L692-$L692/(1+$M692/100),2))</f>
        <v/>
      </c>
      <c r="O692" s="9" t="n"/>
      <c r="P692" s="9" t="n"/>
      <c r="Q692" s="9" t="n"/>
      <c r="R692" s="9" t="n"/>
      <c r="S692" s="9" t="n"/>
    </row>
    <row r="693">
      <c r="A693" s="9" t="n"/>
      <c r="B693" s="9" t="n"/>
      <c r="C693" s="30" t="n"/>
      <c r="D693" s="9">
        <f>IF($C693="","",YEAR($C693)&amp;"-"&amp;TEXT(MONTH($C693),"00"))</f>
        <v/>
      </c>
      <c r="E693" s="9" t="n"/>
      <c r="F693" s="9" t="n"/>
      <c r="G693" s="9" t="n"/>
      <c r="H693" s="24" t="n"/>
      <c r="I693" s="9" t="n"/>
      <c r="J693" s="24" t="n"/>
      <c r="K693" s="24" t="n"/>
      <c r="L693" s="24">
        <f>IF($H693="","",ROUND($H693*$J693-N($K693),2))</f>
        <v/>
      </c>
      <c r="M693" s="31" t="n"/>
      <c r="N693" s="24">
        <f>IF(OR($L693="",$M693=""),"",ROUND($L693-$L693/(1+$M693/100),2))</f>
        <v/>
      </c>
      <c r="O693" s="9" t="n"/>
      <c r="P693" s="9" t="n"/>
      <c r="Q693" s="9" t="n"/>
      <c r="R693" s="9" t="n"/>
      <c r="S693" s="9" t="n"/>
    </row>
    <row r="694">
      <c r="A694" s="9" t="n"/>
      <c r="B694" s="9" t="n"/>
      <c r="C694" s="30" t="n"/>
      <c r="D694" s="9">
        <f>IF($C694="","",YEAR($C694)&amp;"-"&amp;TEXT(MONTH($C694),"00"))</f>
        <v/>
      </c>
      <c r="E694" s="9" t="n"/>
      <c r="F694" s="9" t="n"/>
      <c r="G694" s="9" t="n"/>
      <c r="H694" s="24" t="n"/>
      <c r="I694" s="9" t="n"/>
      <c r="J694" s="24" t="n"/>
      <c r="K694" s="24" t="n"/>
      <c r="L694" s="24">
        <f>IF($H694="","",ROUND($H694*$J694-N($K694),2))</f>
        <v/>
      </c>
      <c r="M694" s="31" t="n"/>
      <c r="N694" s="24">
        <f>IF(OR($L694="",$M694=""),"",ROUND($L694-$L694/(1+$M694/100),2))</f>
        <v/>
      </c>
      <c r="O694" s="9" t="n"/>
      <c r="P694" s="9" t="n"/>
      <c r="Q694" s="9" t="n"/>
      <c r="R694" s="9" t="n"/>
      <c r="S694" s="9" t="n"/>
    </row>
    <row r="695">
      <c r="A695" s="9" t="n"/>
      <c r="B695" s="9" t="n"/>
      <c r="C695" s="30" t="n"/>
      <c r="D695" s="9">
        <f>IF($C695="","",YEAR($C695)&amp;"-"&amp;TEXT(MONTH($C695),"00"))</f>
        <v/>
      </c>
      <c r="E695" s="9" t="n"/>
      <c r="F695" s="9" t="n"/>
      <c r="G695" s="9" t="n"/>
      <c r="H695" s="24" t="n"/>
      <c r="I695" s="9" t="n"/>
      <c r="J695" s="24" t="n"/>
      <c r="K695" s="24" t="n"/>
      <c r="L695" s="24">
        <f>IF($H695="","",ROUND($H695*$J695-N($K695),2))</f>
        <v/>
      </c>
      <c r="M695" s="31" t="n"/>
      <c r="N695" s="24">
        <f>IF(OR($L695="",$M695=""),"",ROUND($L695-$L695/(1+$M695/100),2))</f>
        <v/>
      </c>
      <c r="O695" s="9" t="n"/>
      <c r="P695" s="9" t="n"/>
      <c r="Q695" s="9" t="n"/>
      <c r="R695" s="9" t="n"/>
      <c r="S695" s="9" t="n"/>
    </row>
    <row r="696">
      <c r="A696" s="9" t="n"/>
      <c r="B696" s="9" t="n"/>
      <c r="C696" s="30" t="n"/>
      <c r="D696" s="9">
        <f>IF($C696="","",YEAR($C696)&amp;"-"&amp;TEXT(MONTH($C696),"00"))</f>
        <v/>
      </c>
      <c r="E696" s="9" t="n"/>
      <c r="F696" s="9" t="n"/>
      <c r="G696" s="9" t="n"/>
      <c r="H696" s="24" t="n"/>
      <c r="I696" s="9" t="n"/>
      <c r="J696" s="24" t="n"/>
      <c r="K696" s="24" t="n"/>
      <c r="L696" s="24">
        <f>IF($H696="","",ROUND($H696*$J696-N($K696),2))</f>
        <v/>
      </c>
      <c r="M696" s="31" t="n"/>
      <c r="N696" s="24">
        <f>IF(OR($L696="",$M696=""),"",ROUND($L696-$L696/(1+$M696/100),2))</f>
        <v/>
      </c>
      <c r="O696" s="9" t="n"/>
      <c r="P696" s="9" t="n"/>
      <c r="Q696" s="9" t="n"/>
      <c r="R696" s="9" t="n"/>
      <c r="S696" s="9" t="n"/>
    </row>
    <row r="697">
      <c r="A697" s="9" t="n"/>
      <c r="B697" s="9" t="n"/>
      <c r="C697" s="30" t="n"/>
      <c r="D697" s="9">
        <f>IF($C697="","",YEAR($C697)&amp;"-"&amp;TEXT(MONTH($C697),"00"))</f>
        <v/>
      </c>
      <c r="E697" s="9" t="n"/>
      <c r="F697" s="9" t="n"/>
      <c r="G697" s="9" t="n"/>
      <c r="H697" s="24" t="n"/>
      <c r="I697" s="9" t="n"/>
      <c r="J697" s="24" t="n"/>
      <c r="K697" s="24" t="n"/>
      <c r="L697" s="24">
        <f>IF($H697="","",ROUND($H697*$J697-N($K697),2))</f>
        <v/>
      </c>
      <c r="M697" s="31" t="n"/>
      <c r="N697" s="24">
        <f>IF(OR($L697="",$M697=""),"",ROUND($L697-$L697/(1+$M697/100),2))</f>
        <v/>
      </c>
      <c r="O697" s="9" t="n"/>
      <c r="P697" s="9" t="n"/>
      <c r="Q697" s="9" t="n"/>
      <c r="R697" s="9" t="n"/>
      <c r="S697" s="9" t="n"/>
    </row>
    <row r="698">
      <c r="A698" s="9" t="n"/>
      <c r="B698" s="9" t="n"/>
      <c r="C698" s="30" t="n"/>
      <c r="D698" s="9">
        <f>IF($C698="","",YEAR($C698)&amp;"-"&amp;TEXT(MONTH($C698),"00"))</f>
        <v/>
      </c>
      <c r="E698" s="9" t="n"/>
      <c r="F698" s="9" t="n"/>
      <c r="G698" s="9" t="n"/>
      <c r="H698" s="24" t="n"/>
      <c r="I698" s="9" t="n"/>
      <c r="J698" s="24" t="n"/>
      <c r="K698" s="24" t="n"/>
      <c r="L698" s="24">
        <f>IF($H698="","",ROUND($H698*$J698-N($K698),2))</f>
        <v/>
      </c>
      <c r="M698" s="31" t="n"/>
      <c r="N698" s="24">
        <f>IF(OR($L698="",$M698=""),"",ROUND($L698-$L698/(1+$M698/100),2))</f>
        <v/>
      </c>
      <c r="O698" s="9" t="n"/>
      <c r="P698" s="9" t="n"/>
      <c r="Q698" s="9" t="n"/>
      <c r="R698" s="9" t="n"/>
      <c r="S698" s="9" t="n"/>
    </row>
    <row r="699">
      <c r="A699" s="9" t="n"/>
      <c r="B699" s="9" t="n"/>
      <c r="C699" s="30" t="n"/>
      <c r="D699" s="9">
        <f>IF($C699="","",YEAR($C699)&amp;"-"&amp;TEXT(MONTH($C699),"00"))</f>
        <v/>
      </c>
      <c r="E699" s="9" t="n"/>
      <c r="F699" s="9" t="n"/>
      <c r="G699" s="9" t="n"/>
      <c r="H699" s="24" t="n"/>
      <c r="I699" s="9" t="n"/>
      <c r="J699" s="24" t="n"/>
      <c r="K699" s="24" t="n"/>
      <c r="L699" s="24">
        <f>IF($H699="","",ROUND($H699*$J699-N($K699),2))</f>
        <v/>
      </c>
      <c r="M699" s="31" t="n"/>
      <c r="N699" s="24">
        <f>IF(OR($L699="",$M699=""),"",ROUND($L699-$L699/(1+$M699/100),2))</f>
        <v/>
      </c>
      <c r="O699" s="9" t="n"/>
      <c r="P699" s="9" t="n"/>
      <c r="Q699" s="9" t="n"/>
      <c r="R699" s="9" t="n"/>
      <c r="S699" s="9" t="n"/>
    </row>
    <row r="700">
      <c r="A700" s="9" t="n"/>
      <c r="B700" s="9" t="n"/>
      <c r="C700" s="30" t="n"/>
      <c r="D700" s="9">
        <f>IF($C700="","",YEAR($C700)&amp;"-"&amp;TEXT(MONTH($C700),"00"))</f>
        <v/>
      </c>
      <c r="E700" s="9" t="n"/>
      <c r="F700" s="9" t="n"/>
      <c r="G700" s="9" t="n"/>
      <c r="H700" s="24" t="n"/>
      <c r="I700" s="9" t="n"/>
      <c r="J700" s="24" t="n"/>
      <c r="K700" s="24" t="n"/>
      <c r="L700" s="24">
        <f>IF($H700="","",ROUND($H700*$J700-N($K700),2))</f>
        <v/>
      </c>
      <c r="M700" s="31" t="n"/>
      <c r="N700" s="24">
        <f>IF(OR($L700="",$M700=""),"",ROUND($L700-$L700/(1+$M700/100),2))</f>
        <v/>
      </c>
      <c r="O700" s="9" t="n"/>
      <c r="P700" s="9" t="n"/>
      <c r="Q700" s="9" t="n"/>
      <c r="R700" s="9" t="n"/>
      <c r="S700" s="9" t="n"/>
    </row>
    <row r="701">
      <c r="A701" s="9" t="n"/>
      <c r="B701" s="9" t="n"/>
      <c r="C701" s="30" t="n"/>
      <c r="D701" s="9">
        <f>IF($C701="","",YEAR($C701)&amp;"-"&amp;TEXT(MONTH($C701),"00"))</f>
        <v/>
      </c>
      <c r="E701" s="9" t="n"/>
      <c r="F701" s="9" t="n"/>
      <c r="G701" s="9" t="n"/>
      <c r="H701" s="24" t="n"/>
      <c r="I701" s="9" t="n"/>
      <c r="J701" s="24" t="n"/>
      <c r="K701" s="24" t="n"/>
      <c r="L701" s="24">
        <f>IF($H701="","",ROUND($H701*$J701-N($K701),2))</f>
        <v/>
      </c>
      <c r="M701" s="31" t="n"/>
      <c r="N701" s="24">
        <f>IF(OR($L701="",$M701=""),"",ROUND($L701-$L701/(1+$M701/100),2))</f>
        <v/>
      </c>
      <c r="O701" s="9" t="n"/>
      <c r="P701" s="9" t="n"/>
      <c r="Q701" s="9" t="n"/>
      <c r="R701" s="9" t="n"/>
      <c r="S701" s="9" t="n"/>
    </row>
    <row r="702">
      <c r="A702" s="9" t="n"/>
      <c r="B702" s="9" t="n"/>
      <c r="C702" s="30" t="n"/>
      <c r="D702" s="9">
        <f>IF($C702="","",YEAR($C702)&amp;"-"&amp;TEXT(MONTH($C702),"00"))</f>
        <v/>
      </c>
      <c r="E702" s="9" t="n"/>
      <c r="F702" s="9" t="n"/>
      <c r="G702" s="9" t="n"/>
      <c r="H702" s="24" t="n"/>
      <c r="I702" s="9" t="n"/>
      <c r="J702" s="24" t="n"/>
      <c r="K702" s="24" t="n"/>
      <c r="L702" s="24">
        <f>IF($H702="","",ROUND($H702*$J702-N($K702),2))</f>
        <v/>
      </c>
      <c r="M702" s="31" t="n"/>
      <c r="N702" s="24">
        <f>IF(OR($L702="",$M702=""),"",ROUND($L702-$L702/(1+$M702/100),2))</f>
        <v/>
      </c>
      <c r="O702" s="9" t="n"/>
      <c r="P702" s="9" t="n"/>
      <c r="Q702" s="9" t="n"/>
      <c r="R702" s="9" t="n"/>
      <c r="S702" s="9" t="n"/>
    </row>
    <row r="703">
      <c r="A703" s="9" t="n"/>
      <c r="B703" s="9" t="n"/>
      <c r="C703" s="30" t="n"/>
      <c r="D703" s="9">
        <f>IF($C703="","",YEAR($C703)&amp;"-"&amp;TEXT(MONTH($C703),"00"))</f>
        <v/>
      </c>
      <c r="E703" s="9" t="n"/>
      <c r="F703" s="9" t="n"/>
      <c r="G703" s="9" t="n"/>
      <c r="H703" s="24" t="n"/>
      <c r="I703" s="9" t="n"/>
      <c r="J703" s="24" t="n"/>
      <c r="K703" s="24" t="n"/>
      <c r="L703" s="24">
        <f>IF($H703="","",ROUND($H703*$J703-N($K703),2))</f>
        <v/>
      </c>
      <c r="M703" s="31" t="n"/>
      <c r="N703" s="24">
        <f>IF(OR($L703="",$M703=""),"",ROUND($L703-$L703/(1+$M703/100),2))</f>
        <v/>
      </c>
      <c r="O703" s="9" t="n"/>
      <c r="P703" s="9" t="n"/>
      <c r="Q703" s="9" t="n"/>
      <c r="R703" s="9" t="n"/>
      <c r="S703" s="9" t="n"/>
    </row>
    <row r="704">
      <c r="A704" s="9" t="n"/>
      <c r="B704" s="9" t="n"/>
      <c r="C704" s="30" t="n"/>
      <c r="D704" s="9">
        <f>IF($C704="","",YEAR($C704)&amp;"-"&amp;TEXT(MONTH($C704),"00"))</f>
        <v/>
      </c>
      <c r="E704" s="9" t="n"/>
      <c r="F704" s="9" t="n"/>
      <c r="G704" s="9" t="n"/>
      <c r="H704" s="24" t="n"/>
      <c r="I704" s="9" t="n"/>
      <c r="J704" s="24" t="n"/>
      <c r="K704" s="24" t="n"/>
      <c r="L704" s="24">
        <f>IF($H704="","",ROUND($H704*$J704-N($K704),2))</f>
        <v/>
      </c>
      <c r="M704" s="31" t="n"/>
      <c r="N704" s="24">
        <f>IF(OR($L704="",$M704=""),"",ROUND($L704-$L704/(1+$M704/100),2))</f>
        <v/>
      </c>
      <c r="O704" s="9" t="n"/>
      <c r="P704" s="9" t="n"/>
      <c r="Q704" s="9" t="n"/>
      <c r="R704" s="9" t="n"/>
      <c r="S704" s="9" t="n"/>
    </row>
    <row r="705">
      <c r="A705" s="9" t="n"/>
      <c r="B705" s="9" t="n"/>
      <c r="C705" s="30" t="n"/>
      <c r="D705" s="9">
        <f>IF($C705="","",YEAR($C705)&amp;"-"&amp;TEXT(MONTH($C705),"00"))</f>
        <v/>
      </c>
      <c r="E705" s="9" t="n"/>
      <c r="F705" s="9" t="n"/>
      <c r="G705" s="9" t="n"/>
      <c r="H705" s="24" t="n"/>
      <c r="I705" s="9" t="n"/>
      <c r="J705" s="24" t="n"/>
      <c r="K705" s="24" t="n"/>
      <c r="L705" s="24">
        <f>IF($H705="","",ROUND($H705*$J705-N($K705),2))</f>
        <v/>
      </c>
      <c r="M705" s="31" t="n"/>
      <c r="N705" s="24">
        <f>IF(OR($L705="",$M705=""),"",ROUND($L705-$L705/(1+$M705/100),2))</f>
        <v/>
      </c>
      <c r="O705" s="9" t="n"/>
      <c r="P705" s="9" t="n"/>
      <c r="Q705" s="9" t="n"/>
      <c r="R705" s="9" t="n"/>
      <c r="S705" s="9" t="n"/>
    </row>
    <row r="706">
      <c r="A706" s="9" t="n"/>
      <c r="B706" s="9" t="n"/>
      <c r="C706" s="30" t="n"/>
      <c r="D706" s="9">
        <f>IF($C706="","",YEAR($C706)&amp;"-"&amp;TEXT(MONTH($C706),"00"))</f>
        <v/>
      </c>
      <c r="E706" s="9" t="n"/>
      <c r="F706" s="9" t="n"/>
      <c r="G706" s="9" t="n"/>
      <c r="H706" s="24" t="n"/>
      <c r="I706" s="9" t="n"/>
      <c r="J706" s="24" t="n"/>
      <c r="K706" s="24" t="n"/>
      <c r="L706" s="24">
        <f>IF($H706="","",ROUND($H706*$J706-N($K706),2))</f>
        <v/>
      </c>
      <c r="M706" s="31" t="n"/>
      <c r="N706" s="24">
        <f>IF(OR($L706="",$M706=""),"",ROUND($L706-$L706/(1+$M706/100),2))</f>
        <v/>
      </c>
      <c r="O706" s="9" t="n"/>
      <c r="P706" s="9" t="n"/>
      <c r="Q706" s="9" t="n"/>
      <c r="R706" s="9" t="n"/>
      <c r="S706" s="9" t="n"/>
    </row>
    <row r="707">
      <c r="A707" s="9" t="n"/>
      <c r="B707" s="9" t="n"/>
      <c r="C707" s="30" t="n"/>
      <c r="D707" s="9">
        <f>IF($C707="","",YEAR($C707)&amp;"-"&amp;TEXT(MONTH($C707),"00"))</f>
        <v/>
      </c>
      <c r="E707" s="9" t="n"/>
      <c r="F707" s="9" t="n"/>
      <c r="G707" s="9" t="n"/>
      <c r="H707" s="24" t="n"/>
      <c r="I707" s="9" t="n"/>
      <c r="J707" s="24" t="n"/>
      <c r="K707" s="24" t="n"/>
      <c r="L707" s="24">
        <f>IF($H707="","",ROUND($H707*$J707-N($K707),2))</f>
        <v/>
      </c>
      <c r="M707" s="31" t="n"/>
      <c r="N707" s="24">
        <f>IF(OR($L707="",$M707=""),"",ROUND($L707-$L707/(1+$M707/100),2))</f>
        <v/>
      </c>
      <c r="O707" s="9" t="n"/>
      <c r="P707" s="9" t="n"/>
      <c r="Q707" s="9" t="n"/>
      <c r="R707" s="9" t="n"/>
      <c r="S707" s="9" t="n"/>
    </row>
    <row r="708">
      <c r="A708" s="9" t="n"/>
      <c r="B708" s="9" t="n"/>
      <c r="C708" s="30" t="n"/>
      <c r="D708" s="9">
        <f>IF($C708="","",YEAR($C708)&amp;"-"&amp;TEXT(MONTH($C708),"00"))</f>
        <v/>
      </c>
      <c r="E708" s="9" t="n"/>
      <c r="F708" s="9" t="n"/>
      <c r="G708" s="9" t="n"/>
      <c r="H708" s="24" t="n"/>
      <c r="I708" s="9" t="n"/>
      <c r="J708" s="24" t="n"/>
      <c r="K708" s="24" t="n"/>
      <c r="L708" s="24">
        <f>IF($H708="","",ROUND($H708*$J708-N($K708),2))</f>
        <v/>
      </c>
      <c r="M708" s="31" t="n"/>
      <c r="N708" s="24">
        <f>IF(OR($L708="",$M708=""),"",ROUND($L708-$L708/(1+$M708/100),2))</f>
        <v/>
      </c>
      <c r="O708" s="9" t="n"/>
      <c r="P708" s="9" t="n"/>
      <c r="Q708" s="9" t="n"/>
      <c r="R708" s="9" t="n"/>
      <c r="S708" s="9" t="n"/>
    </row>
    <row r="709">
      <c r="A709" s="9" t="n"/>
      <c r="B709" s="9" t="n"/>
      <c r="C709" s="30" t="n"/>
      <c r="D709" s="9">
        <f>IF($C709="","",YEAR($C709)&amp;"-"&amp;TEXT(MONTH($C709),"00"))</f>
        <v/>
      </c>
      <c r="E709" s="9" t="n"/>
      <c r="F709" s="9" t="n"/>
      <c r="G709" s="9" t="n"/>
      <c r="H709" s="24" t="n"/>
      <c r="I709" s="9" t="n"/>
      <c r="J709" s="24" t="n"/>
      <c r="K709" s="24" t="n"/>
      <c r="L709" s="24">
        <f>IF($H709="","",ROUND($H709*$J709-N($K709),2))</f>
        <v/>
      </c>
      <c r="M709" s="31" t="n"/>
      <c r="N709" s="24">
        <f>IF(OR($L709="",$M709=""),"",ROUND($L709-$L709/(1+$M709/100),2))</f>
        <v/>
      </c>
      <c r="O709" s="9" t="n"/>
      <c r="P709" s="9" t="n"/>
      <c r="Q709" s="9" t="n"/>
      <c r="R709" s="9" t="n"/>
      <c r="S709" s="9" t="n"/>
    </row>
    <row r="710">
      <c r="A710" s="9" t="n"/>
      <c r="B710" s="9" t="n"/>
      <c r="C710" s="30" t="n"/>
      <c r="D710" s="9">
        <f>IF($C710="","",YEAR($C710)&amp;"-"&amp;TEXT(MONTH($C710),"00"))</f>
        <v/>
      </c>
      <c r="E710" s="9" t="n"/>
      <c r="F710" s="9" t="n"/>
      <c r="G710" s="9" t="n"/>
      <c r="H710" s="24" t="n"/>
      <c r="I710" s="9" t="n"/>
      <c r="J710" s="24" t="n"/>
      <c r="K710" s="24" t="n"/>
      <c r="L710" s="24">
        <f>IF($H710="","",ROUND($H710*$J710-N($K710),2))</f>
        <v/>
      </c>
      <c r="M710" s="31" t="n"/>
      <c r="N710" s="24">
        <f>IF(OR($L710="",$M710=""),"",ROUND($L710-$L710/(1+$M710/100),2))</f>
        <v/>
      </c>
      <c r="O710" s="9" t="n"/>
      <c r="P710" s="9" t="n"/>
      <c r="Q710" s="9" t="n"/>
      <c r="R710" s="9" t="n"/>
      <c r="S710" s="9" t="n"/>
    </row>
    <row r="711">
      <c r="A711" s="9" t="n"/>
      <c r="B711" s="9" t="n"/>
      <c r="C711" s="30" t="n"/>
      <c r="D711" s="9">
        <f>IF($C711="","",YEAR($C711)&amp;"-"&amp;TEXT(MONTH($C711),"00"))</f>
        <v/>
      </c>
      <c r="E711" s="9" t="n"/>
      <c r="F711" s="9" t="n"/>
      <c r="G711" s="9" t="n"/>
      <c r="H711" s="24" t="n"/>
      <c r="I711" s="9" t="n"/>
      <c r="J711" s="24" t="n"/>
      <c r="K711" s="24" t="n"/>
      <c r="L711" s="24">
        <f>IF($H711="","",ROUND($H711*$J711-N($K711),2))</f>
        <v/>
      </c>
      <c r="M711" s="31" t="n"/>
      <c r="N711" s="24">
        <f>IF(OR($L711="",$M711=""),"",ROUND($L711-$L711/(1+$M711/100),2))</f>
        <v/>
      </c>
      <c r="O711" s="9" t="n"/>
      <c r="P711" s="9" t="n"/>
      <c r="Q711" s="9" t="n"/>
      <c r="R711" s="9" t="n"/>
      <c r="S711" s="9" t="n"/>
    </row>
    <row r="712">
      <c r="A712" s="9" t="n"/>
      <c r="B712" s="9" t="n"/>
      <c r="C712" s="30" t="n"/>
      <c r="D712" s="9">
        <f>IF($C712="","",YEAR($C712)&amp;"-"&amp;TEXT(MONTH($C712),"00"))</f>
        <v/>
      </c>
      <c r="E712" s="9" t="n"/>
      <c r="F712" s="9" t="n"/>
      <c r="G712" s="9" t="n"/>
      <c r="H712" s="24" t="n"/>
      <c r="I712" s="9" t="n"/>
      <c r="J712" s="24" t="n"/>
      <c r="K712" s="24" t="n"/>
      <c r="L712" s="24">
        <f>IF($H712="","",ROUND($H712*$J712-N($K712),2))</f>
        <v/>
      </c>
      <c r="M712" s="31" t="n"/>
      <c r="N712" s="24">
        <f>IF(OR($L712="",$M712=""),"",ROUND($L712-$L712/(1+$M712/100),2))</f>
        <v/>
      </c>
      <c r="O712" s="9" t="n"/>
      <c r="P712" s="9" t="n"/>
      <c r="Q712" s="9" t="n"/>
      <c r="R712" s="9" t="n"/>
      <c r="S712" s="9" t="n"/>
    </row>
    <row r="713">
      <c r="A713" s="9" t="n"/>
      <c r="B713" s="9" t="n"/>
      <c r="C713" s="30" t="n"/>
      <c r="D713" s="9">
        <f>IF($C713="","",YEAR($C713)&amp;"-"&amp;TEXT(MONTH($C713),"00"))</f>
        <v/>
      </c>
      <c r="E713" s="9" t="n"/>
      <c r="F713" s="9" t="n"/>
      <c r="G713" s="9" t="n"/>
      <c r="H713" s="24" t="n"/>
      <c r="I713" s="9" t="n"/>
      <c r="J713" s="24" t="n"/>
      <c r="K713" s="24" t="n"/>
      <c r="L713" s="24">
        <f>IF($H713="","",ROUND($H713*$J713-N($K713),2))</f>
        <v/>
      </c>
      <c r="M713" s="31" t="n"/>
      <c r="N713" s="24">
        <f>IF(OR($L713="",$M713=""),"",ROUND($L713-$L713/(1+$M713/100),2))</f>
        <v/>
      </c>
      <c r="O713" s="9" t="n"/>
      <c r="P713" s="9" t="n"/>
      <c r="Q713" s="9" t="n"/>
      <c r="R713" s="9" t="n"/>
      <c r="S713" s="9" t="n"/>
    </row>
    <row r="714">
      <c r="A714" s="9" t="n"/>
      <c r="B714" s="9" t="n"/>
      <c r="C714" s="30" t="n"/>
      <c r="D714" s="9">
        <f>IF($C714="","",YEAR($C714)&amp;"-"&amp;TEXT(MONTH($C714),"00"))</f>
        <v/>
      </c>
      <c r="E714" s="9" t="n"/>
      <c r="F714" s="9" t="n"/>
      <c r="G714" s="9" t="n"/>
      <c r="H714" s="24" t="n"/>
      <c r="I714" s="9" t="n"/>
      <c r="J714" s="24" t="n"/>
      <c r="K714" s="24" t="n"/>
      <c r="L714" s="24">
        <f>IF($H714="","",ROUND($H714*$J714-N($K714),2))</f>
        <v/>
      </c>
      <c r="M714" s="31" t="n"/>
      <c r="N714" s="24">
        <f>IF(OR($L714="",$M714=""),"",ROUND($L714-$L714/(1+$M714/100),2))</f>
        <v/>
      </c>
      <c r="O714" s="9" t="n"/>
      <c r="P714" s="9" t="n"/>
      <c r="Q714" s="9" t="n"/>
      <c r="R714" s="9" t="n"/>
      <c r="S714" s="9" t="n"/>
    </row>
    <row r="715">
      <c r="A715" s="9" t="n"/>
      <c r="B715" s="9" t="n"/>
      <c r="C715" s="30" t="n"/>
      <c r="D715" s="9">
        <f>IF($C715="","",YEAR($C715)&amp;"-"&amp;TEXT(MONTH($C715),"00"))</f>
        <v/>
      </c>
      <c r="E715" s="9" t="n"/>
      <c r="F715" s="9" t="n"/>
      <c r="G715" s="9" t="n"/>
      <c r="H715" s="24" t="n"/>
      <c r="I715" s="9" t="n"/>
      <c r="J715" s="24" t="n"/>
      <c r="K715" s="24" t="n"/>
      <c r="L715" s="24">
        <f>IF($H715="","",ROUND($H715*$J715-N($K715),2))</f>
        <v/>
      </c>
      <c r="M715" s="31" t="n"/>
      <c r="N715" s="24">
        <f>IF(OR($L715="",$M715=""),"",ROUND($L715-$L715/(1+$M715/100),2))</f>
        <v/>
      </c>
      <c r="O715" s="9" t="n"/>
      <c r="P715" s="9" t="n"/>
      <c r="Q715" s="9" t="n"/>
      <c r="R715" s="9" t="n"/>
      <c r="S715" s="9" t="n"/>
    </row>
    <row r="716">
      <c r="A716" s="9" t="n"/>
      <c r="B716" s="9" t="n"/>
      <c r="C716" s="30" t="n"/>
      <c r="D716" s="9">
        <f>IF($C716="","",YEAR($C716)&amp;"-"&amp;TEXT(MONTH($C716),"00"))</f>
        <v/>
      </c>
      <c r="E716" s="9" t="n"/>
      <c r="F716" s="9" t="n"/>
      <c r="G716" s="9" t="n"/>
      <c r="H716" s="24" t="n"/>
      <c r="I716" s="9" t="n"/>
      <c r="J716" s="24" t="n"/>
      <c r="K716" s="24" t="n"/>
      <c r="L716" s="24">
        <f>IF($H716="","",ROUND($H716*$J716-N($K716),2))</f>
        <v/>
      </c>
      <c r="M716" s="31" t="n"/>
      <c r="N716" s="24">
        <f>IF(OR($L716="",$M716=""),"",ROUND($L716-$L716/(1+$M716/100),2))</f>
        <v/>
      </c>
      <c r="O716" s="9" t="n"/>
      <c r="P716" s="9" t="n"/>
      <c r="Q716" s="9" t="n"/>
      <c r="R716" s="9" t="n"/>
      <c r="S716" s="9" t="n"/>
    </row>
    <row r="717">
      <c r="A717" s="9" t="n"/>
      <c r="B717" s="9" t="n"/>
      <c r="C717" s="30" t="n"/>
      <c r="D717" s="9">
        <f>IF($C717="","",YEAR($C717)&amp;"-"&amp;TEXT(MONTH($C717),"00"))</f>
        <v/>
      </c>
      <c r="E717" s="9" t="n"/>
      <c r="F717" s="9" t="n"/>
      <c r="G717" s="9" t="n"/>
      <c r="H717" s="24" t="n"/>
      <c r="I717" s="9" t="n"/>
      <c r="J717" s="24" t="n"/>
      <c r="K717" s="24" t="n"/>
      <c r="L717" s="24">
        <f>IF($H717="","",ROUND($H717*$J717-N($K717),2))</f>
        <v/>
      </c>
      <c r="M717" s="31" t="n"/>
      <c r="N717" s="24">
        <f>IF(OR($L717="",$M717=""),"",ROUND($L717-$L717/(1+$M717/100),2))</f>
        <v/>
      </c>
      <c r="O717" s="9" t="n"/>
      <c r="P717" s="9" t="n"/>
      <c r="Q717" s="9" t="n"/>
      <c r="R717" s="9" t="n"/>
      <c r="S717" s="9" t="n"/>
    </row>
    <row r="718">
      <c r="A718" s="9" t="n"/>
      <c r="B718" s="9" t="n"/>
      <c r="C718" s="30" t="n"/>
      <c r="D718" s="9">
        <f>IF($C718="","",YEAR($C718)&amp;"-"&amp;TEXT(MONTH($C718),"00"))</f>
        <v/>
      </c>
      <c r="E718" s="9" t="n"/>
      <c r="F718" s="9" t="n"/>
      <c r="G718" s="9" t="n"/>
      <c r="H718" s="24" t="n"/>
      <c r="I718" s="9" t="n"/>
      <c r="J718" s="24" t="n"/>
      <c r="K718" s="24" t="n"/>
      <c r="L718" s="24">
        <f>IF($H718="","",ROUND($H718*$J718-N($K718),2))</f>
        <v/>
      </c>
      <c r="M718" s="31" t="n"/>
      <c r="N718" s="24">
        <f>IF(OR($L718="",$M718=""),"",ROUND($L718-$L718/(1+$M718/100),2))</f>
        <v/>
      </c>
      <c r="O718" s="9" t="n"/>
      <c r="P718" s="9" t="n"/>
      <c r="Q718" s="9" t="n"/>
      <c r="R718" s="9" t="n"/>
      <c r="S718" s="9" t="n"/>
    </row>
    <row r="719">
      <c r="A719" s="9" t="n"/>
      <c r="B719" s="9" t="n"/>
      <c r="C719" s="30" t="n"/>
      <c r="D719" s="9">
        <f>IF($C719="","",YEAR($C719)&amp;"-"&amp;TEXT(MONTH($C719),"00"))</f>
        <v/>
      </c>
      <c r="E719" s="9" t="n"/>
      <c r="F719" s="9" t="n"/>
      <c r="G719" s="9" t="n"/>
      <c r="H719" s="24" t="n"/>
      <c r="I719" s="9" t="n"/>
      <c r="J719" s="24" t="n"/>
      <c r="K719" s="24" t="n"/>
      <c r="L719" s="24">
        <f>IF($H719="","",ROUND($H719*$J719-N($K719),2))</f>
        <v/>
      </c>
      <c r="M719" s="31" t="n"/>
      <c r="N719" s="24">
        <f>IF(OR($L719="",$M719=""),"",ROUND($L719-$L719/(1+$M719/100),2))</f>
        <v/>
      </c>
      <c r="O719" s="9" t="n"/>
      <c r="P719" s="9" t="n"/>
      <c r="Q719" s="9" t="n"/>
      <c r="R719" s="9" t="n"/>
      <c r="S719" s="9" t="n"/>
    </row>
    <row r="720">
      <c r="A720" s="9" t="n"/>
      <c r="B720" s="9" t="n"/>
      <c r="C720" s="30" t="n"/>
      <c r="D720" s="9">
        <f>IF($C720="","",YEAR($C720)&amp;"-"&amp;TEXT(MONTH($C720),"00"))</f>
        <v/>
      </c>
      <c r="E720" s="9" t="n"/>
      <c r="F720" s="9" t="n"/>
      <c r="G720" s="9" t="n"/>
      <c r="H720" s="24" t="n"/>
      <c r="I720" s="9" t="n"/>
      <c r="J720" s="24" t="n"/>
      <c r="K720" s="24" t="n"/>
      <c r="L720" s="24">
        <f>IF($H720="","",ROUND($H720*$J720-N($K720),2))</f>
        <v/>
      </c>
      <c r="M720" s="31" t="n"/>
      <c r="N720" s="24">
        <f>IF(OR($L720="",$M720=""),"",ROUND($L720-$L720/(1+$M720/100),2))</f>
        <v/>
      </c>
      <c r="O720" s="9" t="n"/>
      <c r="P720" s="9" t="n"/>
      <c r="Q720" s="9" t="n"/>
      <c r="R720" s="9" t="n"/>
      <c r="S720" s="9" t="n"/>
    </row>
    <row r="721">
      <c r="A721" s="9" t="n"/>
      <c r="B721" s="9" t="n"/>
      <c r="C721" s="30" t="n"/>
      <c r="D721" s="9">
        <f>IF($C721="","",YEAR($C721)&amp;"-"&amp;TEXT(MONTH($C721),"00"))</f>
        <v/>
      </c>
      <c r="E721" s="9" t="n"/>
      <c r="F721" s="9" t="n"/>
      <c r="G721" s="9" t="n"/>
      <c r="H721" s="24" t="n"/>
      <c r="I721" s="9" t="n"/>
      <c r="J721" s="24" t="n"/>
      <c r="K721" s="24" t="n"/>
      <c r="L721" s="24">
        <f>IF($H721="","",ROUND($H721*$J721-N($K721),2))</f>
        <v/>
      </c>
      <c r="M721" s="31" t="n"/>
      <c r="N721" s="24">
        <f>IF(OR($L721="",$M721=""),"",ROUND($L721-$L721/(1+$M721/100),2))</f>
        <v/>
      </c>
      <c r="O721" s="9" t="n"/>
      <c r="P721" s="9" t="n"/>
      <c r="Q721" s="9" t="n"/>
      <c r="R721" s="9" t="n"/>
      <c r="S721" s="9" t="n"/>
    </row>
    <row r="722">
      <c r="A722" s="9" t="n"/>
      <c r="B722" s="9" t="n"/>
      <c r="C722" s="30" t="n"/>
      <c r="D722" s="9">
        <f>IF($C722="","",YEAR($C722)&amp;"-"&amp;TEXT(MONTH($C722),"00"))</f>
        <v/>
      </c>
      <c r="E722" s="9" t="n"/>
      <c r="F722" s="9" t="n"/>
      <c r="G722" s="9" t="n"/>
      <c r="H722" s="24" t="n"/>
      <c r="I722" s="9" t="n"/>
      <c r="J722" s="24" t="n"/>
      <c r="K722" s="24" t="n"/>
      <c r="L722" s="24">
        <f>IF($H722="","",ROUND($H722*$J722-N($K722),2))</f>
        <v/>
      </c>
      <c r="M722" s="31" t="n"/>
      <c r="N722" s="24">
        <f>IF(OR($L722="",$M722=""),"",ROUND($L722-$L722/(1+$M722/100),2))</f>
        <v/>
      </c>
      <c r="O722" s="9" t="n"/>
      <c r="P722" s="9" t="n"/>
      <c r="Q722" s="9" t="n"/>
      <c r="R722" s="9" t="n"/>
      <c r="S722" s="9" t="n"/>
    </row>
    <row r="723">
      <c r="A723" s="9" t="n"/>
      <c r="B723" s="9" t="n"/>
      <c r="C723" s="30" t="n"/>
      <c r="D723" s="9">
        <f>IF($C723="","",YEAR($C723)&amp;"-"&amp;TEXT(MONTH($C723),"00"))</f>
        <v/>
      </c>
      <c r="E723" s="9" t="n"/>
      <c r="F723" s="9" t="n"/>
      <c r="G723" s="9" t="n"/>
      <c r="H723" s="24" t="n"/>
      <c r="I723" s="9" t="n"/>
      <c r="J723" s="24" t="n"/>
      <c r="K723" s="24" t="n"/>
      <c r="L723" s="24">
        <f>IF($H723="","",ROUND($H723*$J723-N($K723),2))</f>
        <v/>
      </c>
      <c r="M723" s="31" t="n"/>
      <c r="N723" s="24">
        <f>IF(OR($L723="",$M723=""),"",ROUND($L723-$L723/(1+$M723/100),2))</f>
        <v/>
      </c>
      <c r="O723" s="9" t="n"/>
      <c r="P723" s="9" t="n"/>
      <c r="Q723" s="9" t="n"/>
      <c r="R723" s="9" t="n"/>
      <c r="S723" s="9" t="n"/>
    </row>
    <row r="724">
      <c r="A724" s="9" t="n"/>
      <c r="B724" s="9" t="n"/>
      <c r="C724" s="30" t="n"/>
      <c r="D724" s="9">
        <f>IF($C724="","",YEAR($C724)&amp;"-"&amp;TEXT(MONTH($C724),"00"))</f>
        <v/>
      </c>
      <c r="E724" s="9" t="n"/>
      <c r="F724" s="9" t="n"/>
      <c r="G724" s="9" t="n"/>
      <c r="H724" s="24" t="n"/>
      <c r="I724" s="9" t="n"/>
      <c r="J724" s="24" t="n"/>
      <c r="K724" s="24" t="n"/>
      <c r="L724" s="24">
        <f>IF($H724="","",ROUND($H724*$J724-N($K724),2))</f>
        <v/>
      </c>
      <c r="M724" s="31" t="n"/>
      <c r="N724" s="24">
        <f>IF(OR($L724="",$M724=""),"",ROUND($L724-$L724/(1+$M724/100),2))</f>
        <v/>
      </c>
      <c r="O724" s="9" t="n"/>
      <c r="P724" s="9" t="n"/>
      <c r="Q724" s="9" t="n"/>
      <c r="R724" s="9" t="n"/>
      <c r="S724" s="9" t="n"/>
    </row>
    <row r="725">
      <c r="A725" s="9" t="n"/>
      <c r="B725" s="9" t="n"/>
      <c r="C725" s="30" t="n"/>
      <c r="D725" s="9">
        <f>IF($C725="","",YEAR($C725)&amp;"-"&amp;TEXT(MONTH($C725),"00"))</f>
        <v/>
      </c>
      <c r="E725" s="9" t="n"/>
      <c r="F725" s="9" t="n"/>
      <c r="G725" s="9" t="n"/>
      <c r="H725" s="24" t="n"/>
      <c r="I725" s="9" t="n"/>
      <c r="J725" s="24" t="n"/>
      <c r="K725" s="24" t="n"/>
      <c r="L725" s="24">
        <f>IF($H725="","",ROUND($H725*$J725-N($K725),2))</f>
        <v/>
      </c>
      <c r="M725" s="31" t="n"/>
      <c r="N725" s="24">
        <f>IF(OR($L725="",$M725=""),"",ROUND($L725-$L725/(1+$M725/100),2))</f>
        <v/>
      </c>
      <c r="O725" s="9" t="n"/>
      <c r="P725" s="9" t="n"/>
      <c r="Q725" s="9" t="n"/>
      <c r="R725" s="9" t="n"/>
      <c r="S725" s="9" t="n"/>
    </row>
    <row r="726">
      <c r="A726" s="9" t="n"/>
      <c r="B726" s="9" t="n"/>
      <c r="C726" s="30" t="n"/>
      <c r="D726" s="9">
        <f>IF($C726="","",YEAR($C726)&amp;"-"&amp;TEXT(MONTH($C726),"00"))</f>
        <v/>
      </c>
      <c r="E726" s="9" t="n"/>
      <c r="F726" s="9" t="n"/>
      <c r="G726" s="9" t="n"/>
      <c r="H726" s="24" t="n"/>
      <c r="I726" s="9" t="n"/>
      <c r="J726" s="24" t="n"/>
      <c r="K726" s="24" t="n"/>
      <c r="L726" s="24">
        <f>IF($H726="","",ROUND($H726*$J726-N($K726),2))</f>
        <v/>
      </c>
      <c r="M726" s="31" t="n"/>
      <c r="N726" s="24">
        <f>IF(OR($L726="",$M726=""),"",ROUND($L726-$L726/(1+$M726/100),2))</f>
        <v/>
      </c>
      <c r="O726" s="9" t="n"/>
      <c r="P726" s="9" t="n"/>
      <c r="Q726" s="9" t="n"/>
      <c r="R726" s="9" t="n"/>
      <c r="S726" s="9" t="n"/>
    </row>
    <row r="727">
      <c r="A727" s="9" t="n"/>
      <c r="B727" s="9" t="n"/>
      <c r="C727" s="30" t="n"/>
      <c r="D727" s="9">
        <f>IF($C727="","",YEAR($C727)&amp;"-"&amp;TEXT(MONTH($C727),"00"))</f>
        <v/>
      </c>
      <c r="E727" s="9" t="n"/>
      <c r="F727" s="9" t="n"/>
      <c r="G727" s="9" t="n"/>
      <c r="H727" s="24" t="n"/>
      <c r="I727" s="9" t="n"/>
      <c r="J727" s="24" t="n"/>
      <c r="K727" s="24" t="n"/>
      <c r="L727" s="24">
        <f>IF($H727="","",ROUND($H727*$J727-N($K727),2))</f>
        <v/>
      </c>
      <c r="M727" s="31" t="n"/>
      <c r="N727" s="24">
        <f>IF(OR($L727="",$M727=""),"",ROUND($L727-$L727/(1+$M727/100),2))</f>
        <v/>
      </c>
      <c r="O727" s="9" t="n"/>
      <c r="P727" s="9" t="n"/>
      <c r="Q727" s="9" t="n"/>
      <c r="R727" s="9" t="n"/>
      <c r="S727" s="9" t="n"/>
    </row>
    <row r="728">
      <c r="A728" s="9" t="n"/>
      <c r="B728" s="9" t="n"/>
      <c r="C728" s="30" t="n"/>
      <c r="D728" s="9">
        <f>IF($C728="","",YEAR($C728)&amp;"-"&amp;TEXT(MONTH($C728),"00"))</f>
        <v/>
      </c>
      <c r="E728" s="9" t="n"/>
      <c r="F728" s="9" t="n"/>
      <c r="G728" s="9" t="n"/>
      <c r="H728" s="24" t="n"/>
      <c r="I728" s="9" t="n"/>
      <c r="J728" s="24" t="n"/>
      <c r="K728" s="24" t="n"/>
      <c r="L728" s="24">
        <f>IF($H728="","",ROUND($H728*$J728-N($K728),2))</f>
        <v/>
      </c>
      <c r="M728" s="31" t="n"/>
      <c r="N728" s="24">
        <f>IF(OR($L728="",$M728=""),"",ROUND($L728-$L728/(1+$M728/100),2))</f>
        <v/>
      </c>
      <c r="O728" s="9" t="n"/>
      <c r="P728" s="9" t="n"/>
      <c r="Q728" s="9" t="n"/>
      <c r="R728" s="9" t="n"/>
      <c r="S728" s="9" t="n"/>
    </row>
    <row r="729">
      <c r="A729" s="9" t="n"/>
      <c r="B729" s="9" t="n"/>
      <c r="C729" s="30" t="n"/>
      <c r="D729" s="9">
        <f>IF($C729="","",YEAR($C729)&amp;"-"&amp;TEXT(MONTH($C729),"00"))</f>
        <v/>
      </c>
      <c r="E729" s="9" t="n"/>
      <c r="F729" s="9" t="n"/>
      <c r="G729" s="9" t="n"/>
      <c r="H729" s="24" t="n"/>
      <c r="I729" s="9" t="n"/>
      <c r="J729" s="24" t="n"/>
      <c r="K729" s="24" t="n"/>
      <c r="L729" s="24">
        <f>IF($H729="","",ROUND($H729*$J729-N($K729),2))</f>
        <v/>
      </c>
      <c r="M729" s="31" t="n"/>
      <c r="N729" s="24">
        <f>IF(OR($L729="",$M729=""),"",ROUND($L729-$L729/(1+$M729/100),2))</f>
        <v/>
      </c>
      <c r="O729" s="9" t="n"/>
      <c r="P729" s="9" t="n"/>
      <c r="Q729" s="9" t="n"/>
      <c r="R729" s="9" t="n"/>
      <c r="S729" s="9" t="n"/>
    </row>
    <row r="730">
      <c r="A730" s="9" t="n"/>
      <c r="B730" s="9" t="n"/>
      <c r="C730" s="30" t="n"/>
      <c r="D730" s="9">
        <f>IF($C730="","",YEAR($C730)&amp;"-"&amp;TEXT(MONTH($C730),"00"))</f>
        <v/>
      </c>
      <c r="E730" s="9" t="n"/>
      <c r="F730" s="9" t="n"/>
      <c r="G730" s="9" t="n"/>
      <c r="H730" s="24" t="n"/>
      <c r="I730" s="9" t="n"/>
      <c r="J730" s="24" t="n"/>
      <c r="K730" s="24" t="n"/>
      <c r="L730" s="24">
        <f>IF($H730="","",ROUND($H730*$J730-N($K730),2))</f>
        <v/>
      </c>
      <c r="M730" s="31" t="n"/>
      <c r="N730" s="24">
        <f>IF(OR($L730="",$M730=""),"",ROUND($L730-$L730/(1+$M730/100),2))</f>
        <v/>
      </c>
      <c r="O730" s="9" t="n"/>
      <c r="P730" s="9" t="n"/>
      <c r="Q730" s="9" t="n"/>
      <c r="R730" s="9" t="n"/>
      <c r="S730" s="9" t="n"/>
    </row>
    <row r="731">
      <c r="A731" s="9" t="n"/>
      <c r="B731" s="9" t="n"/>
      <c r="C731" s="30" t="n"/>
      <c r="D731" s="9">
        <f>IF($C731="","",YEAR($C731)&amp;"-"&amp;TEXT(MONTH($C731),"00"))</f>
        <v/>
      </c>
      <c r="E731" s="9" t="n"/>
      <c r="F731" s="9" t="n"/>
      <c r="G731" s="9" t="n"/>
      <c r="H731" s="24" t="n"/>
      <c r="I731" s="9" t="n"/>
      <c r="J731" s="24" t="n"/>
      <c r="K731" s="24" t="n"/>
      <c r="L731" s="24">
        <f>IF($H731="","",ROUND($H731*$J731-N($K731),2))</f>
        <v/>
      </c>
      <c r="M731" s="31" t="n"/>
      <c r="N731" s="24">
        <f>IF(OR($L731="",$M731=""),"",ROUND($L731-$L731/(1+$M731/100),2))</f>
        <v/>
      </c>
      <c r="O731" s="9" t="n"/>
      <c r="P731" s="9" t="n"/>
      <c r="Q731" s="9" t="n"/>
      <c r="R731" s="9" t="n"/>
      <c r="S731" s="9" t="n"/>
    </row>
    <row r="732">
      <c r="A732" s="9" t="n"/>
      <c r="B732" s="9" t="n"/>
      <c r="C732" s="30" t="n"/>
      <c r="D732" s="9">
        <f>IF($C732="","",YEAR($C732)&amp;"-"&amp;TEXT(MONTH($C732),"00"))</f>
        <v/>
      </c>
      <c r="E732" s="9" t="n"/>
      <c r="F732" s="9" t="n"/>
      <c r="G732" s="9" t="n"/>
      <c r="H732" s="24" t="n"/>
      <c r="I732" s="9" t="n"/>
      <c r="J732" s="24" t="n"/>
      <c r="K732" s="24" t="n"/>
      <c r="L732" s="24">
        <f>IF($H732="","",ROUND($H732*$J732-N($K732),2))</f>
        <v/>
      </c>
      <c r="M732" s="31" t="n"/>
      <c r="N732" s="24">
        <f>IF(OR($L732="",$M732=""),"",ROUND($L732-$L732/(1+$M732/100),2))</f>
        <v/>
      </c>
      <c r="O732" s="9" t="n"/>
      <c r="P732" s="9" t="n"/>
      <c r="Q732" s="9" t="n"/>
      <c r="R732" s="9" t="n"/>
      <c r="S732" s="9" t="n"/>
    </row>
    <row r="733">
      <c r="A733" s="9" t="n"/>
      <c r="B733" s="9" t="n"/>
      <c r="C733" s="30" t="n"/>
      <c r="D733" s="9">
        <f>IF($C733="","",YEAR($C733)&amp;"-"&amp;TEXT(MONTH($C733),"00"))</f>
        <v/>
      </c>
      <c r="E733" s="9" t="n"/>
      <c r="F733" s="9" t="n"/>
      <c r="G733" s="9" t="n"/>
      <c r="H733" s="24" t="n"/>
      <c r="I733" s="9" t="n"/>
      <c r="J733" s="24" t="n"/>
      <c r="K733" s="24" t="n"/>
      <c r="L733" s="24">
        <f>IF($H733="","",ROUND($H733*$J733-N($K733),2))</f>
        <v/>
      </c>
      <c r="M733" s="31" t="n"/>
      <c r="N733" s="24">
        <f>IF(OR($L733="",$M733=""),"",ROUND($L733-$L733/(1+$M733/100),2))</f>
        <v/>
      </c>
      <c r="O733" s="9" t="n"/>
      <c r="P733" s="9" t="n"/>
      <c r="Q733" s="9" t="n"/>
      <c r="R733" s="9" t="n"/>
      <c r="S733" s="9" t="n"/>
    </row>
    <row r="734">
      <c r="A734" s="9" t="n"/>
      <c r="B734" s="9" t="n"/>
      <c r="C734" s="30" t="n"/>
      <c r="D734" s="9">
        <f>IF($C734="","",YEAR($C734)&amp;"-"&amp;TEXT(MONTH($C734),"00"))</f>
        <v/>
      </c>
      <c r="E734" s="9" t="n"/>
      <c r="F734" s="9" t="n"/>
      <c r="G734" s="9" t="n"/>
      <c r="H734" s="24" t="n"/>
      <c r="I734" s="9" t="n"/>
      <c r="J734" s="24" t="n"/>
      <c r="K734" s="24" t="n"/>
      <c r="L734" s="24">
        <f>IF($H734="","",ROUND($H734*$J734-N($K734),2))</f>
        <v/>
      </c>
      <c r="M734" s="31" t="n"/>
      <c r="N734" s="24">
        <f>IF(OR($L734="",$M734=""),"",ROUND($L734-$L734/(1+$M734/100),2))</f>
        <v/>
      </c>
      <c r="O734" s="9" t="n"/>
      <c r="P734" s="9" t="n"/>
      <c r="Q734" s="9" t="n"/>
      <c r="R734" s="9" t="n"/>
      <c r="S734" s="9" t="n"/>
    </row>
    <row r="735">
      <c r="A735" s="9" t="n"/>
      <c r="B735" s="9" t="n"/>
      <c r="C735" s="30" t="n"/>
      <c r="D735" s="9">
        <f>IF($C735="","",YEAR($C735)&amp;"-"&amp;TEXT(MONTH($C735),"00"))</f>
        <v/>
      </c>
      <c r="E735" s="9" t="n"/>
      <c r="F735" s="9" t="n"/>
      <c r="G735" s="9" t="n"/>
      <c r="H735" s="24" t="n"/>
      <c r="I735" s="9" t="n"/>
      <c r="J735" s="24" t="n"/>
      <c r="K735" s="24" t="n"/>
      <c r="L735" s="24">
        <f>IF($H735="","",ROUND($H735*$J735-N($K735),2))</f>
        <v/>
      </c>
      <c r="M735" s="31" t="n"/>
      <c r="N735" s="24">
        <f>IF(OR($L735="",$M735=""),"",ROUND($L735-$L735/(1+$M735/100),2))</f>
        <v/>
      </c>
      <c r="O735" s="9" t="n"/>
      <c r="P735" s="9" t="n"/>
      <c r="Q735" s="9" t="n"/>
      <c r="R735" s="9" t="n"/>
      <c r="S735" s="9" t="n"/>
    </row>
    <row r="736">
      <c r="A736" s="9" t="n"/>
      <c r="B736" s="9" t="n"/>
      <c r="C736" s="30" t="n"/>
      <c r="D736" s="9">
        <f>IF($C736="","",YEAR($C736)&amp;"-"&amp;TEXT(MONTH($C736),"00"))</f>
        <v/>
      </c>
      <c r="E736" s="9" t="n"/>
      <c r="F736" s="9" t="n"/>
      <c r="G736" s="9" t="n"/>
      <c r="H736" s="24" t="n"/>
      <c r="I736" s="9" t="n"/>
      <c r="J736" s="24" t="n"/>
      <c r="K736" s="24" t="n"/>
      <c r="L736" s="24">
        <f>IF($H736="","",ROUND($H736*$J736-N($K736),2))</f>
        <v/>
      </c>
      <c r="M736" s="31" t="n"/>
      <c r="N736" s="24">
        <f>IF(OR($L736="",$M736=""),"",ROUND($L736-$L736/(1+$M736/100),2))</f>
        <v/>
      </c>
      <c r="O736" s="9" t="n"/>
      <c r="P736" s="9" t="n"/>
      <c r="Q736" s="9" t="n"/>
      <c r="R736" s="9" t="n"/>
      <c r="S736" s="9" t="n"/>
    </row>
    <row r="737">
      <c r="A737" s="9" t="n"/>
      <c r="B737" s="9" t="n"/>
      <c r="C737" s="30" t="n"/>
      <c r="D737" s="9">
        <f>IF($C737="","",YEAR($C737)&amp;"-"&amp;TEXT(MONTH($C737),"00"))</f>
        <v/>
      </c>
      <c r="E737" s="9" t="n"/>
      <c r="F737" s="9" t="n"/>
      <c r="G737" s="9" t="n"/>
      <c r="H737" s="24" t="n"/>
      <c r="I737" s="9" t="n"/>
      <c r="J737" s="24" t="n"/>
      <c r="K737" s="24" t="n"/>
      <c r="L737" s="24">
        <f>IF($H737="","",ROUND($H737*$J737-N($K737),2))</f>
        <v/>
      </c>
      <c r="M737" s="31" t="n"/>
      <c r="N737" s="24">
        <f>IF(OR($L737="",$M737=""),"",ROUND($L737-$L737/(1+$M737/100),2))</f>
        <v/>
      </c>
      <c r="O737" s="9" t="n"/>
      <c r="P737" s="9" t="n"/>
      <c r="Q737" s="9" t="n"/>
      <c r="R737" s="9" t="n"/>
      <c r="S737" s="9" t="n"/>
    </row>
    <row r="738">
      <c r="A738" s="9" t="n"/>
      <c r="B738" s="9" t="n"/>
      <c r="C738" s="30" t="n"/>
      <c r="D738" s="9">
        <f>IF($C738="","",YEAR($C738)&amp;"-"&amp;TEXT(MONTH($C738),"00"))</f>
        <v/>
      </c>
      <c r="E738" s="9" t="n"/>
      <c r="F738" s="9" t="n"/>
      <c r="G738" s="9" t="n"/>
      <c r="H738" s="24" t="n"/>
      <c r="I738" s="9" t="n"/>
      <c r="J738" s="24" t="n"/>
      <c r="K738" s="24" t="n"/>
      <c r="L738" s="24">
        <f>IF($H738="","",ROUND($H738*$J738-N($K738),2))</f>
        <v/>
      </c>
      <c r="M738" s="31" t="n"/>
      <c r="N738" s="24">
        <f>IF(OR($L738="",$M738=""),"",ROUND($L738-$L738/(1+$M738/100),2))</f>
        <v/>
      </c>
      <c r="O738" s="9" t="n"/>
      <c r="P738" s="9" t="n"/>
      <c r="Q738" s="9" t="n"/>
      <c r="R738" s="9" t="n"/>
      <c r="S738" s="9" t="n"/>
    </row>
    <row r="739">
      <c r="A739" s="9" t="n"/>
      <c r="B739" s="9" t="n"/>
      <c r="C739" s="30" t="n"/>
      <c r="D739" s="9">
        <f>IF($C739="","",YEAR($C739)&amp;"-"&amp;TEXT(MONTH($C739),"00"))</f>
        <v/>
      </c>
      <c r="E739" s="9" t="n"/>
      <c r="F739" s="9" t="n"/>
      <c r="G739" s="9" t="n"/>
      <c r="H739" s="24" t="n"/>
      <c r="I739" s="9" t="n"/>
      <c r="J739" s="24" t="n"/>
      <c r="K739" s="24" t="n"/>
      <c r="L739" s="24">
        <f>IF($H739="","",ROUND($H739*$J739-N($K739),2))</f>
        <v/>
      </c>
      <c r="M739" s="31" t="n"/>
      <c r="N739" s="24">
        <f>IF(OR($L739="",$M739=""),"",ROUND($L739-$L739/(1+$M739/100),2))</f>
        <v/>
      </c>
      <c r="O739" s="9" t="n"/>
      <c r="P739" s="9" t="n"/>
      <c r="Q739" s="9" t="n"/>
      <c r="R739" s="9" t="n"/>
      <c r="S739" s="9" t="n"/>
    </row>
    <row r="740">
      <c r="A740" s="9" t="n"/>
      <c r="B740" s="9" t="n"/>
      <c r="C740" s="30" t="n"/>
      <c r="D740" s="9">
        <f>IF($C740="","",YEAR($C740)&amp;"-"&amp;TEXT(MONTH($C740),"00"))</f>
        <v/>
      </c>
      <c r="E740" s="9" t="n"/>
      <c r="F740" s="9" t="n"/>
      <c r="G740" s="9" t="n"/>
      <c r="H740" s="24" t="n"/>
      <c r="I740" s="9" t="n"/>
      <c r="J740" s="24" t="n"/>
      <c r="K740" s="24" t="n"/>
      <c r="L740" s="24">
        <f>IF($H740="","",ROUND($H740*$J740-N($K740),2))</f>
        <v/>
      </c>
      <c r="M740" s="31" t="n"/>
      <c r="N740" s="24">
        <f>IF(OR($L740="",$M740=""),"",ROUND($L740-$L740/(1+$M740/100),2))</f>
        <v/>
      </c>
      <c r="O740" s="9" t="n"/>
      <c r="P740" s="9" t="n"/>
      <c r="Q740" s="9" t="n"/>
      <c r="R740" s="9" t="n"/>
      <c r="S740" s="9" t="n"/>
    </row>
    <row r="741">
      <c r="A741" s="9" t="n"/>
      <c r="B741" s="9" t="n"/>
      <c r="C741" s="30" t="n"/>
      <c r="D741" s="9">
        <f>IF($C741="","",YEAR($C741)&amp;"-"&amp;TEXT(MONTH($C741),"00"))</f>
        <v/>
      </c>
      <c r="E741" s="9" t="n"/>
      <c r="F741" s="9" t="n"/>
      <c r="G741" s="9" t="n"/>
      <c r="H741" s="24" t="n"/>
      <c r="I741" s="9" t="n"/>
      <c r="J741" s="24" t="n"/>
      <c r="K741" s="24" t="n"/>
      <c r="L741" s="24">
        <f>IF($H741="","",ROUND($H741*$J741-N($K741),2))</f>
        <v/>
      </c>
      <c r="M741" s="31" t="n"/>
      <c r="N741" s="24">
        <f>IF(OR($L741="",$M741=""),"",ROUND($L741-$L741/(1+$M741/100),2))</f>
        <v/>
      </c>
      <c r="O741" s="9" t="n"/>
      <c r="P741" s="9" t="n"/>
      <c r="Q741" s="9" t="n"/>
      <c r="R741" s="9" t="n"/>
      <c r="S741" s="9" t="n"/>
    </row>
    <row r="742">
      <c r="A742" s="9" t="n"/>
      <c r="B742" s="9" t="n"/>
      <c r="C742" s="30" t="n"/>
      <c r="D742" s="9">
        <f>IF($C742="","",YEAR($C742)&amp;"-"&amp;TEXT(MONTH($C742),"00"))</f>
        <v/>
      </c>
      <c r="E742" s="9" t="n"/>
      <c r="F742" s="9" t="n"/>
      <c r="G742" s="9" t="n"/>
      <c r="H742" s="24" t="n"/>
      <c r="I742" s="9" t="n"/>
      <c r="J742" s="24" t="n"/>
      <c r="K742" s="24" t="n"/>
      <c r="L742" s="24">
        <f>IF($H742="","",ROUND($H742*$J742-N($K742),2))</f>
        <v/>
      </c>
      <c r="M742" s="31" t="n"/>
      <c r="N742" s="24">
        <f>IF(OR($L742="",$M742=""),"",ROUND($L742-$L742/(1+$M742/100),2))</f>
        <v/>
      </c>
      <c r="O742" s="9" t="n"/>
      <c r="P742" s="9" t="n"/>
      <c r="Q742" s="9" t="n"/>
      <c r="R742" s="9" t="n"/>
      <c r="S742" s="9" t="n"/>
    </row>
    <row r="743">
      <c r="A743" s="9" t="n"/>
      <c r="B743" s="9" t="n"/>
      <c r="C743" s="30" t="n"/>
      <c r="D743" s="9">
        <f>IF($C743="","",YEAR($C743)&amp;"-"&amp;TEXT(MONTH($C743),"00"))</f>
        <v/>
      </c>
      <c r="E743" s="9" t="n"/>
      <c r="F743" s="9" t="n"/>
      <c r="G743" s="9" t="n"/>
      <c r="H743" s="24" t="n"/>
      <c r="I743" s="9" t="n"/>
      <c r="J743" s="24" t="n"/>
      <c r="K743" s="24" t="n"/>
      <c r="L743" s="24">
        <f>IF($H743="","",ROUND($H743*$J743-N($K743),2))</f>
        <v/>
      </c>
      <c r="M743" s="31" t="n"/>
      <c r="N743" s="24">
        <f>IF(OR($L743="",$M743=""),"",ROUND($L743-$L743/(1+$M743/100),2))</f>
        <v/>
      </c>
      <c r="O743" s="9" t="n"/>
      <c r="P743" s="9" t="n"/>
      <c r="Q743" s="9" t="n"/>
      <c r="R743" s="9" t="n"/>
      <c r="S743" s="9" t="n"/>
    </row>
    <row r="744">
      <c r="A744" s="9" t="n"/>
      <c r="B744" s="9" t="n"/>
      <c r="C744" s="30" t="n"/>
      <c r="D744" s="9">
        <f>IF($C744="","",YEAR($C744)&amp;"-"&amp;TEXT(MONTH($C744),"00"))</f>
        <v/>
      </c>
      <c r="E744" s="9" t="n"/>
      <c r="F744" s="9" t="n"/>
      <c r="G744" s="9" t="n"/>
      <c r="H744" s="24" t="n"/>
      <c r="I744" s="9" t="n"/>
      <c r="J744" s="24" t="n"/>
      <c r="K744" s="24" t="n"/>
      <c r="L744" s="24">
        <f>IF($H744="","",ROUND($H744*$J744-N($K744),2))</f>
        <v/>
      </c>
      <c r="M744" s="31" t="n"/>
      <c r="N744" s="24">
        <f>IF(OR($L744="",$M744=""),"",ROUND($L744-$L744/(1+$M744/100),2))</f>
        <v/>
      </c>
      <c r="O744" s="9" t="n"/>
      <c r="P744" s="9" t="n"/>
      <c r="Q744" s="9" t="n"/>
      <c r="R744" s="9" t="n"/>
      <c r="S744" s="9" t="n"/>
    </row>
    <row r="745">
      <c r="A745" s="9" t="n"/>
      <c r="B745" s="9" t="n"/>
      <c r="C745" s="30" t="n"/>
      <c r="D745" s="9">
        <f>IF($C745="","",YEAR($C745)&amp;"-"&amp;TEXT(MONTH($C745),"00"))</f>
        <v/>
      </c>
      <c r="E745" s="9" t="n"/>
      <c r="F745" s="9" t="n"/>
      <c r="G745" s="9" t="n"/>
      <c r="H745" s="24" t="n"/>
      <c r="I745" s="9" t="n"/>
      <c r="J745" s="24" t="n"/>
      <c r="K745" s="24" t="n"/>
      <c r="L745" s="24">
        <f>IF($H745="","",ROUND($H745*$J745-N($K745),2))</f>
        <v/>
      </c>
      <c r="M745" s="31" t="n"/>
      <c r="N745" s="24">
        <f>IF(OR($L745="",$M745=""),"",ROUND($L745-$L745/(1+$M745/100),2))</f>
        <v/>
      </c>
      <c r="O745" s="9" t="n"/>
      <c r="P745" s="9" t="n"/>
      <c r="Q745" s="9" t="n"/>
      <c r="R745" s="9" t="n"/>
      <c r="S745" s="9" t="n"/>
    </row>
    <row r="746">
      <c r="A746" s="9" t="n"/>
      <c r="B746" s="9" t="n"/>
      <c r="C746" s="30" t="n"/>
      <c r="D746" s="9">
        <f>IF($C746="","",YEAR($C746)&amp;"-"&amp;TEXT(MONTH($C746),"00"))</f>
        <v/>
      </c>
      <c r="E746" s="9" t="n"/>
      <c r="F746" s="9" t="n"/>
      <c r="G746" s="9" t="n"/>
      <c r="H746" s="24" t="n"/>
      <c r="I746" s="9" t="n"/>
      <c r="J746" s="24" t="n"/>
      <c r="K746" s="24" t="n"/>
      <c r="L746" s="24">
        <f>IF($H746="","",ROUND($H746*$J746-N($K746),2))</f>
        <v/>
      </c>
      <c r="M746" s="31" t="n"/>
      <c r="N746" s="24">
        <f>IF(OR($L746="",$M746=""),"",ROUND($L746-$L746/(1+$M746/100),2))</f>
        <v/>
      </c>
      <c r="O746" s="9" t="n"/>
      <c r="P746" s="9" t="n"/>
      <c r="Q746" s="9" t="n"/>
      <c r="R746" s="9" t="n"/>
      <c r="S746" s="9" t="n"/>
    </row>
    <row r="747">
      <c r="A747" s="9" t="n"/>
      <c r="B747" s="9" t="n"/>
      <c r="C747" s="30" t="n"/>
      <c r="D747" s="9">
        <f>IF($C747="","",YEAR($C747)&amp;"-"&amp;TEXT(MONTH($C747),"00"))</f>
        <v/>
      </c>
      <c r="E747" s="9" t="n"/>
      <c r="F747" s="9" t="n"/>
      <c r="G747" s="9" t="n"/>
      <c r="H747" s="24" t="n"/>
      <c r="I747" s="9" t="n"/>
      <c r="J747" s="24" t="n"/>
      <c r="K747" s="24" t="n"/>
      <c r="L747" s="24">
        <f>IF($H747="","",ROUND($H747*$J747-N($K747),2))</f>
        <v/>
      </c>
      <c r="M747" s="31" t="n"/>
      <c r="N747" s="24">
        <f>IF(OR($L747="",$M747=""),"",ROUND($L747-$L747/(1+$M747/100),2))</f>
        <v/>
      </c>
      <c r="O747" s="9" t="n"/>
      <c r="P747" s="9" t="n"/>
      <c r="Q747" s="9" t="n"/>
      <c r="R747" s="9" t="n"/>
      <c r="S747" s="9" t="n"/>
    </row>
    <row r="748">
      <c r="A748" s="9" t="n"/>
      <c r="B748" s="9" t="n"/>
      <c r="C748" s="30" t="n"/>
      <c r="D748" s="9">
        <f>IF($C748="","",YEAR($C748)&amp;"-"&amp;TEXT(MONTH($C748),"00"))</f>
        <v/>
      </c>
      <c r="E748" s="9" t="n"/>
      <c r="F748" s="9" t="n"/>
      <c r="G748" s="9" t="n"/>
      <c r="H748" s="24" t="n"/>
      <c r="I748" s="9" t="n"/>
      <c r="J748" s="24" t="n"/>
      <c r="K748" s="24" t="n"/>
      <c r="L748" s="24">
        <f>IF($H748="","",ROUND($H748*$J748-N($K748),2))</f>
        <v/>
      </c>
      <c r="M748" s="31" t="n"/>
      <c r="N748" s="24">
        <f>IF(OR($L748="",$M748=""),"",ROUND($L748-$L748/(1+$M748/100),2))</f>
        <v/>
      </c>
      <c r="O748" s="9" t="n"/>
      <c r="P748" s="9" t="n"/>
      <c r="Q748" s="9" t="n"/>
      <c r="R748" s="9" t="n"/>
      <c r="S748" s="9" t="n"/>
    </row>
    <row r="749">
      <c r="A749" s="9" t="n"/>
      <c r="B749" s="9" t="n"/>
      <c r="C749" s="30" t="n"/>
      <c r="D749" s="9">
        <f>IF($C749="","",YEAR($C749)&amp;"-"&amp;TEXT(MONTH($C749),"00"))</f>
        <v/>
      </c>
      <c r="E749" s="9" t="n"/>
      <c r="F749" s="9" t="n"/>
      <c r="G749" s="9" t="n"/>
      <c r="H749" s="24" t="n"/>
      <c r="I749" s="9" t="n"/>
      <c r="J749" s="24" t="n"/>
      <c r="K749" s="24" t="n"/>
      <c r="L749" s="24">
        <f>IF($H749="","",ROUND($H749*$J749-N($K749),2))</f>
        <v/>
      </c>
      <c r="M749" s="31" t="n"/>
      <c r="N749" s="24">
        <f>IF(OR($L749="",$M749=""),"",ROUND($L749-$L749/(1+$M749/100),2))</f>
        <v/>
      </c>
      <c r="O749" s="9" t="n"/>
      <c r="P749" s="9" t="n"/>
      <c r="Q749" s="9" t="n"/>
      <c r="R749" s="9" t="n"/>
      <c r="S749" s="9" t="n"/>
    </row>
    <row r="750">
      <c r="A750" s="9" t="n"/>
      <c r="B750" s="9" t="n"/>
      <c r="C750" s="30" t="n"/>
      <c r="D750" s="9">
        <f>IF($C750="","",YEAR($C750)&amp;"-"&amp;TEXT(MONTH($C750),"00"))</f>
        <v/>
      </c>
      <c r="E750" s="9" t="n"/>
      <c r="F750" s="9" t="n"/>
      <c r="G750" s="9" t="n"/>
      <c r="H750" s="24" t="n"/>
      <c r="I750" s="9" t="n"/>
      <c r="J750" s="24" t="n"/>
      <c r="K750" s="24" t="n"/>
      <c r="L750" s="24">
        <f>IF($H750="","",ROUND($H750*$J750-N($K750),2))</f>
        <v/>
      </c>
      <c r="M750" s="31" t="n"/>
      <c r="N750" s="24">
        <f>IF(OR($L750="",$M750=""),"",ROUND($L750-$L750/(1+$M750/100),2))</f>
        <v/>
      </c>
      <c r="O750" s="9" t="n"/>
      <c r="P750" s="9" t="n"/>
      <c r="Q750" s="9" t="n"/>
      <c r="R750" s="9" t="n"/>
      <c r="S750" s="9" t="n"/>
    </row>
    <row r="751">
      <c r="A751" s="9" t="n"/>
      <c r="B751" s="9" t="n"/>
      <c r="C751" s="30" t="n"/>
      <c r="D751" s="9">
        <f>IF($C751="","",YEAR($C751)&amp;"-"&amp;TEXT(MONTH($C751),"00"))</f>
        <v/>
      </c>
      <c r="E751" s="9" t="n"/>
      <c r="F751" s="9" t="n"/>
      <c r="G751" s="9" t="n"/>
      <c r="H751" s="24" t="n"/>
      <c r="I751" s="9" t="n"/>
      <c r="J751" s="24" t="n"/>
      <c r="K751" s="24" t="n"/>
      <c r="L751" s="24">
        <f>IF($H751="","",ROUND($H751*$J751-N($K751),2))</f>
        <v/>
      </c>
      <c r="M751" s="31" t="n"/>
      <c r="N751" s="24">
        <f>IF(OR($L751="",$M751=""),"",ROUND($L751-$L751/(1+$M751/100),2))</f>
        <v/>
      </c>
      <c r="O751" s="9" t="n"/>
      <c r="P751" s="9" t="n"/>
      <c r="Q751" s="9" t="n"/>
      <c r="R751" s="9" t="n"/>
      <c r="S751" s="9" t="n"/>
    </row>
    <row r="752">
      <c r="A752" s="9" t="n"/>
      <c r="B752" s="9" t="n"/>
      <c r="C752" s="30" t="n"/>
      <c r="D752" s="9">
        <f>IF($C752="","",YEAR($C752)&amp;"-"&amp;TEXT(MONTH($C752),"00"))</f>
        <v/>
      </c>
      <c r="E752" s="9" t="n"/>
      <c r="F752" s="9" t="n"/>
      <c r="G752" s="9" t="n"/>
      <c r="H752" s="24" t="n"/>
      <c r="I752" s="9" t="n"/>
      <c r="J752" s="24" t="n"/>
      <c r="K752" s="24" t="n"/>
      <c r="L752" s="24">
        <f>IF($H752="","",ROUND($H752*$J752-N($K752),2))</f>
        <v/>
      </c>
      <c r="M752" s="31" t="n"/>
      <c r="N752" s="24">
        <f>IF(OR($L752="",$M752=""),"",ROUND($L752-$L752/(1+$M752/100),2))</f>
        <v/>
      </c>
      <c r="O752" s="9" t="n"/>
      <c r="P752" s="9" t="n"/>
      <c r="Q752" s="9" t="n"/>
      <c r="R752" s="9" t="n"/>
      <c r="S752" s="9" t="n"/>
    </row>
    <row r="753">
      <c r="A753" s="9" t="n"/>
      <c r="B753" s="9" t="n"/>
      <c r="C753" s="30" t="n"/>
      <c r="D753" s="9">
        <f>IF($C753="","",YEAR($C753)&amp;"-"&amp;TEXT(MONTH($C753),"00"))</f>
        <v/>
      </c>
      <c r="E753" s="9" t="n"/>
      <c r="F753" s="9" t="n"/>
      <c r="G753" s="9" t="n"/>
      <c r="H753" s="24" t="n"/>
      <c r="I753" s="9" t="n"/>
      <c r="J753" s="24" t="n"/>
      <c r="K753" s="24" t="n"/>
      <c r="L753" s="24">
        <f>IF($H753="","",ROUND($H753*$J753-N($K753),2))</f>
        <v/>
      </c>
      <c r="M753" s="31" t="n"/>
      <c r="N753" s="24">
        <f>IF(OR($L753="",$M753=""),"",ROUND($L753-$L753/(1+$M753/100),2))</f>
        <v/>
      </c>
      <c r="O753" s="9" t="n"/>
      <c r="P753" s="9" t="n"/>
      <c r="Q753" s="9" t="n"/>
      <c r="R753" s="9" t="n"/>
      <c r="S753" s="9" t="n"/>
    </row>
    <row r="754">
      <c r="A754" s="9" t="n"/>
      <c r="B754" s="9" t="n"/>
      <c r="C754" s="30" t="n"/>
      <c r="D754" s="9">
        <f>IF($C754="","",YEAR($C754)&amp;"-"&amp;TEXT(MONTH($C754),"00"))</f>
        <v/>
      </c>
      <c r="E754" s="9" t="n"/>
      <c r="F754" s="9" t="n"/>
      <c r="G754" s="9" t="n"/>
      <c r="H754" s="24" t="n"/>
      <c r="I754" s="9" t="n"/>
      <c r="J754" s="24" t="n"/>
      <c r="K754" s="24" t="n"/>
      <c r="L754" s="24">
        <f>IF($H754="","",ROUND($H754*$J754-N($K754),2))</f>
        <v/>
      </c>
      <c r="M754" s="31" t="n"/>
      <c r="N754" s="24">
        <f>IF(OR($L754="",$M754=""),"",ROUND($L754-$L754/(1+$M754/100),2))</f>
        <v/>
      </c>
      <c r="O754" s="9" t="n"/>
      <c r="P754" s="9" t="n"/>
      <c r="Q754" s="9" t="n"/>
      <c r="R754" s="9" t="n"/>
      <c r="S754" s="9" t="n"/>
    </row>
    <row r="755">
      <c r="A755" s="9" t="n"/>
      <c r="B755" s="9" t="n"/>
      <c r="C755" s="30" t="n"/>
      <c r="D755" s="9">
        <f>IF($C755="","",YEAR($C755)&amp;"-"&amp;TEXT(MONTH($C755),"00"))</f>
        <v/>
      </c>
      <c r="E755" s="9" t="n"/>
      <c r="F755" s="9" t="n"/>
      <c r="G755" s="9" t="n"/>
      <c r="H755" s="24" t="n"/>
      <c r="I755" s="9" t="n"/>
      <c r="J755" s="24" t="n"/>
      <c r="K755" s="24" t="n"/>
      <c r="L755" s="24">
        <f>IF($H755="","",ROUND($H755*$J755-N($K755),2))</f>
        <v/>
      </c>
      <c r="M755" s="31" t="n"/>
      <c r="N755" s="24">
        <f>IF(OR($L755="",$M755=""),"",ROUND($L755-$L755/(1+$M755/100),2))</f>
        <v/>
      </c>
      <c r="O755" s="9" t="n"/>
      <c r="P755" s="9" t="n"/>
      <c r="Q755" s="9" t="n"/>
      <c r="R755" s="9" t="n"/>
      <c r="S755" s="9" t="n"/>
    </row>
    <row r="756">
      <c r="A756" s="9" t="n"/>
      <c r="B756" s="9" t="n"/>
      <c r="C756" s="30" t="n"/>
      <c r="D756" s="9">
        <f>IF($C756="","",YEAR($C756)&amp;"-"&amp;TEXT(MONTH($C756),"00"))</f>
        <v/>
      </c>
      <c r="E756" s="9" t="n"/>
      <c r="F756" s="9" t="n"/>
      <c r="G756" s="9" t="n"/>
      <c r="H756" s="24" t="n"/>
      <c r="I756" s="9" t="n"/>
      <c r="J756" s="24" t="n"/>
      <c r="K756" s="24" t="n"/>
      <c r="L756" s="24">
        <f>IF($H756="","",ROUND($H756*$J756-N($K756),2))</f>
        <v/>
      </c>
      <c r="M756" s="31" t="n"/>
      <c r="N756" s="24">
        <f>IF(OR($L756="",$M756=""),"",ROUND($L756-$L756/(1+$M756/100),2))</f>
        <v/>
      </c>
      <c r="O756" s="9" t="n"/>
      <c r="P756" s="9" t="n"/>
      <c r="Q756" s="9" t="n"/>
      <c r="R756" s="9" t="n"/>
      <c r="S756" s="9" t="n"/>
    </row>
    <row r="757">
      <c r="A757" s="9" t="n"/>
      <c r="B757" s="9" t="n"/>
      <c r="C757" s="30" t="n"/>
      <c r="D757" s="9">
        <f>IF($C757="","",YEAR($C757)&amp;"-"&amp;TEXT(MONTH($C757),"00"))</f>
        <v/>
      </c>
      <c r="E757" s="9" t="n"/>
      <c r="F757" s="9" t="n"/>
      <c r="G757" s="9" t="n"/>
      <c r="H757" s="24" t="n"/>
      <c r="I757" s="9" t="n"/>
      <c r="J757" s="24" t="n"/>
      <c r="K757" s="24" t="n"/>
      <c r="L757" s="24">
        <f>IF($H757="","",ROUND($H757*$J757-N($K757),2))</f>
        <v/>
      </c>
      <c r="M757" s="31" t="n"/>
      <c r="N757" s="24">
        <f>IF(OR($L757="",$M757=""),"",ROUND($L757-$L757/(1+$M757/100),2))</f>
        <v/>
      </c>
      <c r="O757" s="9" t="n"/>
      <c r="P757" s="9" t="n"/>
      <c r="Q757" s="9" t="n"/>
      <c r="R757" s="9" t="n"/>
      <c r="S757" s="9" t="n"/>
    </row>
    <row r="758">
      <c r="A758" s="9" t="n"/>
      <c r="B758" s="9" t="n"/>
      <c r="C758" s="30" t="n"/>
      <c r="D758" s="9">
        <f>IF($C758="","",YEAR($C758)&amp;"-"&amp;TEXT(MONTH($C758),"00"))</f>
        <v/>
      </c>
      <c r="E758" s="9" t="n"/>
      <c r="F758" s="9" t="n"/>
      <c r="G758" s="9" t="n"/>
      <c r="H758" s="24" t="n"/>
      <c r="I758" s="9" t="n"/>
      <c r="J758" s="24" t="n"/>
      <c r="K758" s="24" t="n"/>
      <c r="L758" s="24">
        <f>IF($H758="","",ROUND($H758*$J758-N($K758),2))</f>
        <v/>
      </c>
      <c r="M758" s="31" t="n"/>
      <c r="N758" s="24">
        <f>IF(OR($L758="",$M758=""),"",ROUND($L758-$L758/(1+$M758/100),2))</f>
        <v/>
      </c>
      <c r="O758" s="9" t="n"/>
      <c r="P758" s="9" t="n"/>
      <c r="Q758" s="9" t="n"/>
      <c r="R758" s="9" t="n"/>
      <c r="S758" s="9" t="n"/>
    </row>
    <row r="759">
      <c r="A759" s="9" t="n"/>
      <c r="B759" s="9" t="n"/>
      <c r="C759" s="30" t="n"/>
      <c r="D759" s="9">
        <f>IF($C759="","",YEAR($C759)&amp;"-"&amp;TEXT(MONTH($C759),"00"))</f>
        <v/>
      </c>
      <c r="E759" s="9" t="n"/>
      <c r="F759" s="9" t="n"/>
      <c r="G759" s="9" t="n"/>
      <c r="H759" s="24" t="n"/>
      <c r="I759" s="9" t="n"/>
      <c r="J759" s="24" t="n"/>
      <c r="K759" s="24" t="n"/>
      <c r="L759" s="24">
        <f>IF($H759="","",ROUND($H759*$J759-N($K759),2))</f>
        <v/>
      </c>
      <c r="M759" s="31" t="n"/>
      <c r="N759" s="24">
        <f>IF(OR($L759="",$M759=""),"",ROUND($L759-$L759/(1+$M759/100),2))</f>
        <v/>
      </c>
      <c r="O759" s="9" t="n"/>
      <c r="P759" s="9" t="n"/>
      <c r="Q759" s="9" t="n"/>
      <c r="R759" s="9" t="n"/>
      <c r="S759" s="9" t="n"/>
    </row>
    <row r="760">
      <c r="A760" s="9" t="n"/>
      <c r="B760" s="9" t="n"/>
      <c r="C760" s="30" t="n"/>
      <c r="D760" s="9">
        <f>IF($C760="","",YEAR($C760)&amp;"-"&amp;TEXT(MONTH($C760),"00"))</f>
        <v/>
      </c>
      <c r="E760" s="9" t="n"/>
      <c r="F760" s="9" t="n"/>
      <c r="G760" s="9" t="n"/>
      <c r="H760" s="24" t="n"/>
      <c r="I760" s="9" t="n"/>
      <c r="J760" s="24" t="n"/>
      <c r="K760" s="24" t="n"/>
      <c r="L760" s="24">
        <f>IF($H760="","",ROUND($H760*$J760-N($K760),2))</f>
        <v/>
      </c>
      <c r="M760" s="31" t="n"/>
      <c r="N760" s="24">
        <f>IF(OR($L760="",$M760=""),"",ROUND($L760-$L760/(1+$M760/100),2))</f>
        <v/>
      </c>
      <c r="O760" s="9" t="n"/>
      <c r="P760" s="9" t="n"/>
      <c r="Q760" s="9" t="n"/>
      <c r="R760" s="9" t="n"/>
      <c r="S760" s="9" t="n"/>
    </row>
    <row r="761">
      <c r="A761" s="9" t="n"/>
      <c r="B761" s="9" t="n"/>
      <c r="C761" s="30" t="n"/>
      <c r="D761" s="9">
        <f>IF($C761="","",YEAR($C761)&amp;"-"&amp;TEXT(MONTH($C761),"00"))</f>
        <v/>
      </c>
      <c r="E761" s="9" t="n"/>
      <c r="F761" s="9" t="n"/>
      <c r="G761" s="9" t="n"/>
      <c r="H761" s="24" t="n"/>
      <c r="I761" s="9" t="n"/>
      <c r="J761" s="24" t="n"/>
      <c r="K761" s="24" t="n"/>
      <c r="L761" s="24">
        <f>IF($H761="","",ROUND($H761*$J761-N($K761),2))</f>
        <v/>
      </c>
      <c r="M761" s="31" t="n"/>
      <c r="N761" s="24">
        <f>IF(OR($L761="",$M761=""),"",ROUND($L761-$L761/(1+$M761/100),2))</f>
        <v/>
      </c>
      <c r="O761" s="9" t="n"/>
      <c r="P761" s="9" t="n"/>
      <c r="Q761" s="9" t="n"/>
      <c r="R761" s="9" t="n"/>
      <c r="S761" s="9" t="n"/>
    </row>
    <row r="762">
      <c r="A762" s="9" t="n"/>
      <c r="B762" s="9" t="n"/>
      <c r="C762" s="30" t="n"/>
      <c r="D762" s="9">
        <f>IF($C762="","",YEAR($C762)&amp;"-"&amp;TEXT(MONTH($C762),"00"))</f>
        <v/>
      </c>
      <c r="E762" s="9" t="n"/>
      <c r="F762" s="9" t="n"/>
      <c r="G762" s="9" t="n"/>
      <c r="H762" s="24" t="n"/>
      <c r="I762" s="9" t="n"/>
      <c r="J762" s="24" t="n"/>
      <c r="K762" s="24" t="n"/>
      <c r="L762" s="24">
        <f>IF($H762="","",ROUND($H762*$J762-N($K762),2))</f>
        <v/>
      </c>
      <c r="M762" s="31" t="n"/>
      <c r="N762" s="24">
        <f>IF(OR($L762="",$M762=""),"",ROUND($L762-$L762/(1+$M762/100),2))</f>
        <v/>
      </c>
      <c r="O762" s="9" t="n"/>
      <c r="P762" s="9" t="n"/>
      <c r="Q762" s="9" t="n"/>
      <c r="R762" s="9" t="n"/>
      <c r="S762" s="9" t="n"/>
    </row>
    <row r="763">
      <c r="A763" s="9" t="n"/>
      <c r="B763" s="9" t="n"/>
      <c r="C763" s="30" t="n"/>
      <c r="D763" s="9">
        <f>IF($C763="","",YEAR($C763)&amp;"-"&amp;TEXT(MONTH($C763),"00"))</f>
        <v/>
      </c>
      <c r="E763" s="9" t="n"/>
      <c r="F763" s="9" t="n"/>
      <c r="G763" s="9" t="n"/>
      <c r="H763" s="24" t="n"/>
      <c r="I763" s="9" t="n"/>
      <c r="J763" s="24" t="n"/>
      <c r="K763" s="24" t="n"/>
      <c r="L763" s="24">
        <f>IF($H763="","",ROUND($H763*$J763-N($K763),2))</f>
        <v/>
      </c>
      <c r="M763" s="31" t="n"/>
      <c r="N763" s="24">
        <f>IF(OR($L763="",$M763=""),"",ROUND($L763-$L763/(1+$M763/100),2))</f>
        <v/>
      </c>
      <c r="O763" s="9" t="n"/>
      <c r="P763" s="9" t="n"/>
      <c r="Q763" s="9" t="n"/>
      <c r="R763" s="9" t="n"/>
      <c r="S763" s="9" t="n"/>
    </row>
    <row r="764">
      <c r="A764" s="9" t="n"/>
      <c r="B764" s="9" t="n"/>
      <c r="C764" s="30" t="n"/>
      <c r="D764" s="9">
        <f>IF($C764="","",YEAR($C764)&amp;"-"&amp;TEXT(MONTH($C764),"00"))</f>
        <v/>
      </c>
      <c r="E764" s="9" t="n"/>
      <c r="F764" s="9" t="n"/>
      <c r="G764" s="9" t="n"/>
      <c r="H764" s="24" t="n"/>
      <c r="I764" s="9" t="n"/>
      <c r="J764" s="24" t="n"/>
      <c r="K764" s="24" t="n"/>
      <c r="L764" s="24">
        <f>IF($H764="","",ROUND($H764*$J764-N($K764),2))</f>
        <v/>
      </c>
      <c r="M764" s="31" t="n"/>
      <c r="N764" s="24">
        <f>IF(OR($L764="",$M764=""),"",ROUND($L764-$L764/(1+$M764/100),2))</f>
        <v/>
      </c>
      <c r="O764" s="9" t="n"/>
      <c r="P764" s="9" t="n"/>
      <c r="Q764" s="9" t="n"/>
      <c r="R764" s="9" t="n"/>
      <c r="S764" s="9" t="n"/>
    </row>
    <row r="765">
      <c r="A765" s="9" t="n"/>
      <c r="B765" s="9" t="n"/>
      <c r="C765" s="30" t="n"/>
      <c r="D765" s="9">
        <f>IF($C765="","",YEAR($C765)&amp;"-"&amp;TEXT(MONTH($C765),"00"))</f>
        <v/>
      </c>
      <c r="E765" s="9" t="n"/>
      <c r="F765" s="9" t="n"/>
      <c r="G765" s="9" t="n"/>
      <c r="H765" s="24" t="n"/>
      <c r="I765" s="9" t="n"/>
      <c r="J765" s="24" t="n"/>
      <c r="K765" s="24" t="n"/>
      <c r="L765" s="24">
        <f>IF($H765="","",ROUND($H765*$J765-N($K765),2))</f>
        <v/>
      </c>
      <c r="M765" s="31" t="n"/>
      <c r="N765" s="24">
        <f>IF(OR($L765="",$M765=""),"",ROUND($L765-$L765/(1+$M765/100),2))</f>
        <v/>
      </c>
      <c r="O765" s="9" t="n"/>
      <c r="P765" s="9" t="n"/>
      <c r="Q765" s="9" t="n"/>
      <c r="R765" s="9" t="n"/>
      <c r="S765" s="9" t="n"/>
    </row>
    <row r="766">
      <c r="A766" s="9" t="n"/>
      <c r="B766" s="9" t="n"/>
      <c r="C766" s="30" t="n"/>
      <c r="D766" s="9">
        <f>IF($C766="","",YEAR($C766)&amp;"-"&amp;TEXT(MONTH($C766),"00"))</f>
        <v/>
      </c>
      <c r="E766" s="9" t="n"/>
      <c r="F766" s="9" t="n"/>
      <c r="G766" s="9" t="n"/>
      <c r="H766" s="24" t="n"/>
      <c r="I766" s="9" t="n"/>
      <c r="J766" s="24" t="n"/>
      <c r="K766" s="24" t="n"/>
      <c r="L766" s="24">
        <f>IF($H766="","",ROUND($H766*$J766-N($K766),2))</f>
        <v/>
      </c>
      <c r="M766" s="31" t="n"/>
      <c r="N766" s="24">
        <f>IF(OR($L766="",$M766=""),"",ROUND($L766-$L766/(1+$M766/100),2))</f>
        <v/>
      </c>
      <c r="O766" s="9" t="n"/>
      <c r="P766" s="9" t="n"/>
      <c r="Q766" s="9" t="n"/>
      <c r="R766" s="9" t="n"/>
      <c r="S766" s="9" t="n"/>
    </row>
    <row r="767">
      <c r="A767" s="9" t="n"/>
      <c r="B767" s="9" t="n"/>
      <c r="C767" s="30" t="n"/>
      <c r="D767" s="9">
        <f>IF($C767="","",YEAR($C767)&amp;"-"&amp;TEXT(MONTH($C767),"00"))</f>
        <v/>
      </c>
      <c r="E767" s="9" t="n"/>
      <c r="F767" s="9" t="n"/>
      <c r="G767" s="9" t="n"/>
      <c r="H767" s="24" t="n"/>
      <c r="I767" s="9" t="n"/>
      <c r="J767" s="24" t="n"/>
      <c r="K767" s="24" t="n"/>
      <c r="L767" s="24">
        <f>IF($H767="","",ROUND($H767*$J767-N($K767),2))</f>
        <v/>
      </c>
      <c r="M767" s="31" t="n"/>
      <c r="N767" s="24">
        <f>IF(OR($L767="",$M767=""),"",ROUND($L767-$L767/(1+$M767/100),2))</f>
        <v/>
      </c>
      <c r="O767" s="9" t="n"/>
      <c r="P767" s="9" t="n"/>
      <c r="Q767" s="9" t="n"/>
      <c r="R767" s="9" t="n"/>
      <c r="S767" s="9" t="n"/>
    </row>
    <row r="768">
      <c r="A768" s="9" t="n"/>
      <c r="B768" s="9" t="n"/>
      <c r="C768" s="30" t="n"/>
      <c r="D768" s="9">
        <f>IF($C768="","",YEAR($C768)&amp;"-"&amp;TEXT(MONTH($C768),"00"))</f>
        <v/>
      </c>
      <c r="E768" s="9" t="n"/>
      <c r="F768" s="9" t="n"/>
      <c r="G768" s="9" t="n"/>
      <c r="H768" s="24" t="n"/>
      <c r="I768" s="9" t="n"/>
      <c r="J768" s="24" t="n"/>
      <c r="K768" s="24" t="n"/>
      <c r="L768" s="24">
        <f>IF($H768="","",ROUND($H768*$J768-N($K768),2))</f>
        <v/>
      </c>
      <c r="M768" s="31" t="n"/>
      <c r="N768" s="24">
        <f>IF(OR($L768="",$M768=""),"",ROUND($L768-$L768/(1+$M768/100),2))</f>
        <v/>
      </c>
      <c r="O768" s="9" t="n"/>
      <c r="P768" s="9" t="n"/>
      <c r="Q768" s="9" t="n"/>
      <c r="R768" s="9" t="n"/>
      <c r="S768" s="9" t="n"/>
    </row>
    <row r="769">
      <c r="A769" s="9" t="n"/>
      <c r="B769" s="9" t="n"/>
      <c r="C769" s="30" t="n"/>
      <c r="D769" s="9">
        <f>IF($C769="","",YEAR($C769)&amp;"-"&amp;TEXT(MONTH($C769),"00"))</f>
        <v/>
      </c>
      <c r="E769" s="9" t="n"/>
      <c r="F769" s="9" t="n"/>
      <c r="G769" s="9" t="n"/>
      <c r="H769" s="24" t="n"/>
      <c r="I769" s="9" t="n"/>
      <c r="J769" s="24" t="n"/>
      <c r="K769" s="24" t="n"/>
      <c r="L769" s="24">
        <f>IF($H769="","",ROUND($H769*$J769-N($K769),2))</f>
        <v/>
      </c>
      <c r="M769" s="31" t="n"/>
      <c r="N769" s="24">
        <f>IF(OR($L769="",$M769=""),"",ROUND($L769-$L769/(1+$M769/100),2))</f>
        <v/>
      </c>
      <c r="O769" s="9" t="n"/>
      <c r="P769" s="9" t="n"/>
      <c r="Q769" s="9" t="n"/>
      <c r="R769" s="9" t="n"/>
      <c r="S769" s="9" t="n"/>
    </row>
    <row r="770">
      <c r="A770" s="9" t="n"/>
      <c r="B770" s="9" t="n"/>
      <c r="C770" s="30" t="n"/>
      <c r="D770" s="9">
        <f>IF($C770="","",YEAR($C770)&amp;"-"&amp;TEXT(MONTH($C770),"00"))</f>
        <v/>
      </c>
      <c r="E770" s="9" t="n"/>
      <c r="F770" s="9" t="n"/>
      <c r="G770" s="9" t="n"/>
      <c r="H770" s="24" t="n"/>
      <c r="I770" s="9" t="n"/>
      <c r="J770" s="24" t="n"/>
      <c r="K770" s="24" t="n"/>
      <c r="L770" s="24">
        <f>IF($H770="","",ROUND($H770*$J770-N($K770),2))</f>
        <v/>
      </c>
      <c r="M770" s="31" t="n"/>
      <c r="N770" s="24">
        <f>IF(OR($L770="",$M770=""),"",ROUND($L770-$L770/(1+$M770/100),2))</f>
        <v/>
      </c>
      <c r="O770" s="9" t="n"/>
      <c r="P770" s="9" t="n"/>
      <c r="Q770" s="9" t="n"/>
      <c r="R770" s="9" t="n"/>
      <c r="S770" s="9" t="n"/>
    </row>
    <row r="771">
      <c r="A771" s="9" t="n"/>
      <c r="B771" s="9" t="n"/>
      <c r="C771" s="30" t="n"/>
      <c r="D771" s="9">
        <f>IF($C771="","",YEAR($C771)&amp;"-"&amp;TEXT(MONTH($C771),"00"))</f>
        <v/>
      </c>
      <c r="E771" s="9" t="n"/>
      <c r="F771" s="9" t="n"/>
      <c r="G771" s="9" t="n"/>
      <c r="H771" s="24" t="n"/>
      <c r="I771" s="9" t="n"/>
      <c r="J771" s="24" t="n"/>
      <c r="K771" s="24" t="n"/>
      <c r="L771" s="24">
        <f>IF($H771="","",ROUND($H771*$J771-N($K771),2))</f>
        <v/>
      </c>
      <c r="M771" s="31" t="n"/>
      <c r="N771" s="24">
        <f>IF(OR($L771="",$M771=""),"",ROUND($L771-$L771/(1+$M771/100),2))</f>
        <v/>
      </c>
      <c r="O771" s="9" t="n"/>
      <c r="P771" s="9" t="n"/>
      <c r="Q771" s="9" t="n"/>
      <c r="R771" s="9" t="n"/>
      <c r="S771" s="9" t="n"/>
    </row>
    <row r="772">
      <c r="A772" s="9" t="n"/>
      <c r="B772" s="9" t="n"/>
      <c r="C772" s="30" t="n"/>
      <c r="D772" s="9">
        <f>IF($C772="","",YEAR($C772)&amp;"-"&amp;TEXT(MONTH($C772),"00"))</f>
        <v/>
      </c>
      <c r="E772" s="9" t="n"/>
      <c r="F772" s="9" t="n"/>
      <c r="G772" s="9" t="n"/>
      <c r="H772" s="24" t="n"/>
      <c r="I772" s="9" t="n"/>
      <c r="J772" s="24" t="n"/>
      <c r="K772" s="24" t="n"/>
      <c r="L772" s="24">
        <f>IF($H772="","",ROUND($H772*$J772-N($K772),2))</f>
        <v/>
      </c>
      <c r="M772" s="31" t="n"/>
      <c r="N772" s="24">
        <f>IF(OR($L772="",$M772=""),"",ROUND($L772-$L772/(1+$M772/100),2))</f>
        <v/>
      </c>
      <c r="O772" s="9" t="n"/>
      <c r="P772" s="9" t="n"/>
      <c r="Q772" s="9" t="n"/>
      <c r="R772" s="9" t="n"/>
      <c r="S772" s="9" t="n"/>
    </row>
    <row r="773">
      <c r="A773" s="9" t="n"/>
      <c r="B773" s="9" t="n"/>
      <c r="C773" s="30" t="n"/>
      <c r="D773" s="9">
        <f>IF($C773="","",YEAR($C773)&amp;"-"&amp;TEXT(MONTH($C773),"00"))</f>
        <v/>
      </c>
      <c r="E773" s="9" t="n"/>
      <c r="F773" s="9" t="n"/>
      <c r="G773" s="9" t="n"/>
      <c r="H773" s="24" t="n"/>
      <c r="I773" s="9" t="n"/>
      <c r="J773" s="24" t="n"/>
      <c r="K773" s="24" t="n"/>
      <c r="L773" s="24">
        <f>IF($H773="","",ROUND($H773*$J773-N($K773),2))</f>
        <v/>
      </c>
      <c r="M773" s="31" t="n"/>
      <c r="N773" s="24">
        <f>IF(OR($L773="",$M773=""),"",ROUND($L773-$L773/(1+$M773/100),2))</f>
        <v/>
      </c>
      <c r="O773" s="9" t="n"/>
      <c r="P773" s="9" t="n"/>
      <c r="Q773" s="9" t="n"/>
      <c r="R773" s="9" t="n"/>
      <c r="S773" s="9" t="n"/>
    </row>
    <row r="774">
      <c r="A774" s="9" t="n"/>
      <c r="B774" s="9" t="n"/>
      <c r="C774" s="30" t="n"/>
      <c r="D774" s="9">
        <f>IF($C774="","",YEAR($C774)&amp;"-"&amp;TEXT(MONTH($C774),"00"))</f>
        <v/>
      </c>
      <c r="E774" s="9" t="n"/>
      <c r="F774" s="9" t="n"/>
      <c r="G774" s="9" t="n"/>
      <c r="H774" s="24" t="n"/>
      <c r="I774" s="9" t="n"/>
      <c r="J774" s="24" t="n"/>
      <c r="K774" s="24" t="n"/>
      <c r="L774" s="24">
        <f>IF($H774="","",ROUND($H774*$J774-N($K774),2))</f>
        <v/>
      </c>
      <c r="M774" s="31" t="n"/>
      <c r="N774" s="24">
        <f>IF(OR($L774="",$M774=""),"",ROUND($L774-$L774/(1+$M774/100),2))</f>
        <v/>
      </c>
      <c r="O774" s="9" t="n"/>
      <c r="P774" s="9" t="n"/>
      <c r="Q774" s="9" t="n"/>
      <c r="R774" s="9" t="n"/>
      <c r="S774" s="9" t="n"/>
    </row>
    <row r="775">
      <c r="A775" s="9" t="n"/>
      <c r="B775" s="9" t="n"/>
      <c r="C775" s="30" t="n"/>
      <c r="D775" s="9">
        <f>IF($C775="","",YEAR($C775)&amp;"-"&amp;TEXT(MONTH($C775),"00"))</f>
        <v/>
      </c>
      <c r="E775" s="9" t="n"/>
      <c r="F775" s="9" t="n"/>
      <c r="G775" s="9" t="n"/>
      <c r="H775" s="24" t="n"/>
      <c r="I775" s="9" t="n"/>
      <c r="J775" s="24" t="n"/>
      <c r="K775" s="24" t="n"/>
      <c r="L775" s="24">
        <f>IF($H775="","",ROUND($H775*$J775-N($K775),2))</f>
        <v/>
      </c>
      <c r="M775" s="31" t="n"/>
      <c r="N775" s="24">
        <f>IF(OR($L775="",$M775=""),"",ROUND($L775-$L775/(1+$M775/100),2))</f>
        <v/>
      </c>
      <c r="O775" s="9" t="n"/>
      <c r="P775" s="9" t="n"/>
      <c r="Q775" s="9" t="n"/>
      <c r="R775" s="9" t="n"/>
      <c r="S775" s="9" t="n"/>
    </row>
    <row r="776">
      <c r="A776" s="9" t="n"/>
      <c r="B776" s="9" t="n"/>
      <c r="C776" s="30" t="n"/>
      <c r="D776" s="9">
        <f>IF($C776="","",YEAR($C776)&amp;"-"&amp;TEXT(MONTH($C776),"00"))</f>
        <v/>
      </c>
      <c r="E776" s="9" t="n"/>
      <c r="F776" s="9" t="n"/>
      <c r="G776" s="9" t="n"/>
      <c r="H776" s="24" t="n"/>
      <c r="I776" s="9" t="n"/>
      <c r="J776" s="24" t="n"/>
      <c r="K776" s="24" t="n"/>
      <c r="L776" s="24">
        <f>IF($H776="","",ROUND($H776*$J776-N($K776),2))</f>
        <v/>
      </c>
      <c r="M776" s="31" t="n"/>
      <c r="N776" s="24">
        <f>IF(OR($L776="",$M776=""),"",ROUND($L776-$L776/(1+$M776/100),2))</f>
        <v/>
      </c>
      <c r="O776" s="9" t="n"/>
      <c r="P776" s="9" t="n"/>
      <c r="Q776" s="9" t="n"/>
      <c r="R776" s="9" t="n"/>
      <c r="S776" s="9" t="n"/>
    </row>
    <row r="777">
      <c r="A777" s="9" t="n"/>
      <c r="B777" s="9" t="n"/>
      <c r="C777" s="30" t="n"/>
      <c r="D777" s="9">
        <f>IF($C777="","",YEAR($C777)&amp;"-"&amp;TEXT(MONTH($C777),"00"))</f>
        <v/>
      </c>
      <c r="E777" s="9" t="n"/>
      <c r="F777" s="9" t="n"/>
      <c r="G777" s="9" t="n"/>
      <c r="H777" s="24" t="n"/>
      <c r="I777" s="9" t="n"/>
      <c r="J777" s="24" t="n"/>
      <c r="K777" s="24" t="n"/>
      <c r="L777" s="24">
        <f>IF($H777="","",ROUND($H777*$J777-N($K777),2))</f>
        <v/>
      </c>
      <c r="M777" s="31" t="n"/>
      <c r="N777" s="24">
        <f>IF(OR($L777="",$M777=""),"",ROUND($L777-$L777/(1+$M777/100),2))</f>
        <v/>
      </c>
      <c r="O777" s="9" t="n"/>
      <c r="P777" s="9" t="n"/>
      <c r="Q777" s="9" t="n"/>
      <c r="R777" s="9" t="n"/>
      <c r="S777" s="9" t="n"/>
    </row>
    <row r="778">
      <c r="A778" s="9" t="n"/>
      <c r="B778" s="9" t="n"/>
      <c r="C778" s="30" t="n"/>
      <c r="D778" s="9">
        <f>IF($C778="","",YEAR($C778)&amp;"-"&amp;TEXT(MONTH($C778),"00"))</f>
        <v/>
      </c>
      <c r="E778" s="9" t="n"/>
      <c r="F778" s="9" t="n"/>
      <c r="G778" s="9" t="n"/>
      <c r="H778" s="24" t="n"/>
      <c r="I778" s="9" t="n"/>
      <c r="J778" s="24" t="n"/>
      <c r="K778" s="24" t="n"/>
      <c r="L778" s="24">
        <f>IF($H778="","",ROUND($H778*$J778-N($K778),2))</f>
        <v/>
      </c>
      <c r="M778" s="31" t="n"/>
      <c r="N778" s="24">
        <f>IF(OR($L778="",$M778=""),"",ROUND($L778-$L778/(1+$M778/100),2))</f>
        <v/>
      </c>
      <c r="O778" s="9" t="n"/>
      <c r="P778" s="9" t="n"/>
      <c r="Q778" s="9" t="n"/>
      <c r="R778" s="9" t="n"/>
      <c r="S778" s="9" t="n"/>
    </row>
    <row r="779">
      <c r="A779" s="9" t="n"/>
      <c r="B779" s="9" t="n"/>
      <c r="C779" s="30" t="n"/>
      <c r="D779" s="9">
        <f>IF($C779="","",YEAR($C779)&amp;"-"&amp;TEXT(MONTH($C779),"00"))</f>
        <v/>
      </c>
      <c r="E779" s="9" t="n"/>
      <c r="F779" s="9" t="n"/>
      <c r="G779" s="9" t="n"/>
      <c r="H779" s="24" t="n"/>
      <c r="I779" s="9" t="n"/>
      <c r="J779" s="24" t="n"/>
      <c r="K779" s="24" t="n"/>
      <c r="L779" s="24">
        <f>IF($H779="","",ROUND($H779*$J779-N($K779),2))</f>
        <v/>
      </c>
      <c r="M779" s="31" t="n"/>
      <c r="N779" s="24">
        <f>IF(OR($L779="",$M779=""),"",ROUND($L779-$L779/(1+$M779/100),2))</f>
        <v/>
      </c>
      <c r="O779" s="9" t="n"/>
      <c r="P779" s="9" t="n"/>
      <c r="Q779" s="9" t="n"/>
      <c r="R779" s="9" t="n"/>
      <c r="S779" s="9" t="n"/>
    </row>
    <row r="780">
      <c r="A780" s="9" t="n"/>
      <c r="B780" s="9" t="n"/>
      <c r="C780" s="30" t="n"/>
      <c r="D780" s="9">
        <f>IF($C780="","",YEAR($C780)&amp;"-"&amp;TEXT(MONTH($C780),"00"))</f>
        <v/>
      </c>
      <c r="E780" s="9" t="n"/>
      <c r="F780" s="9" t="n"/>
      <c r="G780" s="9" t="n"/>
      <c r="H780" s="24" t="n"/>
      <c r="I780" s="9" t="n"/>
      <c r="J780" s="24" t="n"/>
      <c r="K780" s="24" t="n"/>
      <c r="L780" s="24">
        <f>IF($H780="","",ROUND($H780*$J780-N($K780),2))</f>
        <v/>
      </c>
      <c r="M780" s="31" t="n"/>
      <c r="N780" s="24">
        <f>IF(OR($L780="",$M780=""),"",ROUND($L780-$L780/(1+$M780/100),2))</f>
        <v/>
      </c>
      <c r="O780" s="9" t="n"/>
      <c r="P780" s="9" t="n"/>
      <c r="Q780" s="9" t="n"/>
      <c r="R780" s="9" t="n"/>
      <c r="S780" s="9" t="n"/>
    </row>
    <row r="781">
      <c r="A781" s="9" t="n"/>
      <c r="B781" s="9" t="n"/>
      <c r="C781" s="30" t="n"/>
      <c r="D781" s="9">
        <f>IF($C781="","",YEAR($C781)&amp;"-"&amp;TEXT(MONTH($C781),"00"))</f>
        <v/>
      </c>
      <c r="E781" s="9" t="n"/>
      <c r="F781" s="9" t="n"/>
      <c r="G781" s="9" t="n"/>
      <c r="H781" s="24" t="n"/>
      <c r="I781" s="9" t="n"/>
      <c r="J781" s="24" t="n"/>
      <c r="K781" s="24" t="n"/>
      <c r="L781" s="24">
        <f>IF($H781="","",ROUND($H781*$J781-N($K781),2))</f>
        <v/>
      </c>
      <c r="M781" s="31" t="n"/>
      <c r="N781" s="24">
        <f>IF(OR($L781="",$M781=""),"",ROUND($L781-$L781/(1+$M781/100),2))</f>
        <v/>
      </c>
      <c r="O781" s="9" t="n"/>
      <c r="P781" s="9" t="n"/>
      <c r="Q781" s="9" t="n"/>
      <c r="R781" s="9" t="n"/>
      <c r="S781" s="9" t="n"/>
    </row>
    <row r="782">
      <c r="A782" s="9" t="n"/>
      <c r="B782" s="9" t="n"/>
      <c r="C782" s="30" t="n"/>
      <c r="D782" s="9">
        <f>IF($C782="","",YEAR($C782)&amp;"-"&amp;TEXT(MONTH($C782),"00"))</f>
        <v/>
      </c>
      <c r="E782" s="9" t="n"/>
      <c r="F782" s="9" t="n"/>
      <c r="G782" s="9" t="n"/>
      <c r="H782" s="24" t="n"/>
      <c r="I782" s="9" t="n"/>
      <c r="J782" s="24" t="n"/>
      <c r="K782" s="24" t="n"/>
      <c r="L782" s="24">
        <f>IF($H782="","",ROUND($H782*$J782-N($K782),2))</f>
        <v/>
      </c>
      <c r="M782" s="31" t="n"/>
      <c r="N782" s="24">
        <f>IF(OR($L782="",$M782=""),"",ROUND($L782-$L782/(1+$M782/100),2))</f>
        <v/>
      </c>
      <c r="O782" s="9" t="n"/>
      <c r="P782" s="9" t="n"/>
      <c r="Q782" s="9" t="n"/>
      <c r="R782" s="9" t="n"/>
      <c r="S782" s="9" t="n"/>
    </row>
    <row r="783">
      <c r="A783" s="9" t="n"/>
      <c r="B783" s="9" t="n"/>
      <c r="C783" s="30" t="n"/>
      <c r="D783" s="9">
        <f>IF($C783="","",YEAR($C783)&amp;"-"&amp;TEXT(MONTH($C783),"00"))</f>
        <v/>
      </c>
      <c r="E783" s="9" t="n"/>
      <c r="F783" s="9" t="n"/>
      <c r="G783" s="9" t="n"/>
      <c r="H783" s="24" t="n"/>
      <c r="I783" s="9" t="n"/>
      <c r="J783" s="24" t="n"/>
      <c r="K783" s="24" t="n"/>
      <c r="L783" s="24">
        <f>IF($H783="","",ROUND($H783*$J783-N($K783),2))</f>
        <v/>
      </c>
      <c r="M783" s="31" t="n"/>
      <c r="N783" s="24">
        <f>IF(OR($L783="",$M783=""),"",ROUND($L783-$L783/(1+$M783/100),2))</f>
        <v/>
      </c>
      <c r="O783" s="9" t="n"/>
      <c r="P783" s="9" t="n"/>
      <c r="Q783" s="9" t="n"/>
      <c r="R783" s="9" t="n"/>
      <c r="S783" s="9" t="n"/>
    </row>
    <row r="784">
      <c r="A784" s="9" t="n"/>
      <c r="B784" s="9" t="n"/>
      <c r="C784" s="30" t="n"/>
      <c r="D784" s="9">
        <f>IF($C784="","",YEAR($C784)&amp;"-"&amp;TEXT(MONTH($C784),"00"))</f>
        <v/>
      </c>
      <c r="E784" s="9" t="n"/>
      <c r="F784" s="9" t="n"/>
      <c r="G784" s="9" t="n"/>
      <c r="H784" s="24" t="n"/>
      <c r="I784" s="9" t="n"/>
      <c r="J784" s="24" t="n"/>
      <c r="K784" s="24" t="n"/>
      <c r="L784" s="24">
        <f>IF($H784="","",ROUND($H784*$J784-N($K784),2))</f>
        <v/>
      </c>
      <c r="M784" s="31" t="n"/>
      <c r="N784" s="24">
        <f>IF(OR($L784="",$M784=""),"",ROUND($L784-$L784/(1+$M784/100),2))</f>
        <v/>
      </c>
      <c r="O784" s="9" t="n"/>
      <c r="P784" s="9" t="n"/>
      <c r="Q784" s="9" t="n"/>
      <c r="R784" s="9" t="n"/>
      <c r="S784" s="9" t="n"/>
    </row>
    <row r="785">
      <c r="A785" s="9" t="n"/>
      <c r="B785" s="9" t="n"/>
      <c r="C785" s="30" t="n"/>
      <c r="D785" s="9">
        <f>IF($C785="","",YEAR($C785)&amp;"-"&amp;TEXT(MONTH($C785),"00"))</f>
        <v/>
      </c>
      <c r="E785" s="9" t="n"/>
      <c r="F785" s="9" t="n"/>
      <c r="G785" s="9" t="n"/>
      <c r="H785" s="24" t="n"/>
      <c r="I785" s="9" t="n"/>
      <c r="J785" s="24" t="n"/>
      <c r="K785" s="24" t="n"/>
      <c r="L785" s="24">
        <f>IF($H785="","",ROUND($H785*$J785-N($K785),2))</f>
        <v/>
      </c>
      <c r="M785" s="31" t="n"/>
      <c r="N785" s="24">
        <f>IF(OR($L785="",$M785=""),"",ROUND($L785-$L785/(1+$M785/100),2))</f>
        <v/>
      </c>
      <c r="O785" s="9" t="n"/>
      <c r="P785" s="9" t="n"/>
      <c r="Q785" s="9" t="n"/>
      <c r="R785" s="9" t="n"/>
      <c r="S785" s="9" t="n"/>
    </row>
    <row r="786">
      <c r="A786" s="9" t="n"/>
      <c r="B786" s="9" t="n"/>
      <c r="C786" s="30" t="n"/>
      <c r="D786" s="9">
        <f>IF($C786="","",YEAR($C786)&amp;"-"&amp;TEXT(MONTH($C786),"00"))</f>
        <v/>
      </c>
      <c r="E786" s="9" t="n"/>
      <c r="F786" s="9" t="n"/>
      <c r="G786" s="9" t="n"/>
      <c r="H786" s="24" t="n"/>
      <c r="I786" s="9" t="n"/>
      <c r="J786" s="24" t="n"/>
      <c r="K786" s="24" t="n"/>
      <c r="L786" s="24">
        <f>IF($H786="","",ROUND($H786*$J786-N($K786),2))</f>
        <v/>
      </c>
      <c r="M786" s="31" t="n"/>
      <c r="N786" s="24">
        <f>IF(OR($L786="",$M786=""),"",ROUND($L786-$L786/(1+$M786/100),2))</f>
        <v/>
      </c>
      <c r="O786" s="9" t="n"/>
      <c r="P786" s="9" t="n"/>
      <c r="Q786" s="9" t="n"/>
      <c r="R786" s="9" t="n"/>
      <c r="S786" s="9" t="n"/>
    </row>
    <row r="787">
      <c r="A787" s="9" t="n"/>
      <c r="B787" s="9" t="n"/>
      <c r="C787" s="30" t="n"/>
      <c r="D787" s="9">
        <f>IF($C787="","",YEAR($C787)&amp;"-"&amp;TEXT(MONTH($C787),"00"))</f>
        <v/>
      </c>
      <c r="E787" s="9" t="n"/>
      <c r="F787" s="9" t="n"/>
      <c r="G787" s="9" t="n"/>
      <c r="H787" s="24" t="n"/>
      <c r="I787" s="9" t="n"/>
      <c r="J787" s="24" t="n"/>
      <c r="K787" s="24" t="n"/>
      <c r="L787" s="24">
        <f>IF($H787="","",ROUND($H787*$J787-N($K787),2))</f>
        <v/>
      </c>
      <c r="M787" s="31" t="n"/>
      <c r="N787" s="24">
        <f>IF(OR($L787="",$M787=""),"",ROUND($L787-$L787/(1+$M787/100),2))</f>
        <v/>
      </c>
      <c r="O787" s="9" t="n"/>
      <c r="P787" s="9" t="n"/>
      <c r="Q787" s="9" t="n"/>
      <c r="R787" s="9" t="n"/>
      <c r="S787" s="9" t="n"/>
    </row>
    <row r="788">
      <c r="A788" s="9" t="n"/>
      <c r="B788" s="9" t="n"/>
      <c r="C788" s="30" t="n"/>
      <c r="D788" s="9">
        <f>IF($C788="","",YEAR($C788)&amp;"-"&amp;TEXT(MONTH($C788),"00"))</f>
        <v/>
      </c>
      <c r="E788" s="9" t="n"/>
      <c r="F788" s="9" t="n"/>
      <c r="G788" s="9" t="n"/>
      <c r="H788" s="24" t="n"/>
      <c r="I788" s="9" t="n"/>
      <c r="J788" s="24" t="n"/>
      <c r="K788" s="24" t="n"/>
      <c r="L788" s="24">
        <f>IF($H788="","",ROUND($H788*$J788-N($K788),2))</f>
        <v/>
      </c>
      <c r="M788" s="31" t="n"/>
      <c r="N788" s="24">
        <f>IF(OR($L788="",$M788=""),"",ROUND($L788-$L788/(1+$M788/100),2))</f>
        <v/>
      </c>
      <c r="O788" s="9" t="n"/>
      <c r="P788" s="9" t="n"/>
      <c r="Q788" s="9" t="n"/>
      <c r="R788" s="9" t="n"/>
      <c r="S788" s="9" t="n"/>
    </row>
    <row r="789">
      <c r="A789" s="9" t="n"/>
      <c r="B789" s="9" t="n"/>
      <c r="C789" s="30" t="n"/>
      <c r="D789" s="9">
        <f>IF($C789="","",YEAR($C789)&amp;"-"&amp;TEXT(MONTH($C789),"00"))</f>
        <v/>
      </c>
      <c r="E789" s="9" t="n"/>
      <c r="F789" s="9" t="n"/>
      <c r="G789" s="9" t="n"/>
      <c r="H789" s="24" t="n"/>
      <c r="I789" s="9" t="n"/>
      <c r="J789" s="24" t="n"/>
      <c r="K789" s="24" t="n"/>
      <c r="L789" s="24">
        <f>IF($H789="","",ROUND($H789*$J789-N($K789),2))</f>
        <v/>
      </c>
      <c r="M789" s="31" t="n"/>
      <c r="N789" s="24">
        <f>IF(OR($L789="",$M789=""),"",ROUND($L789-$L789/(1+$M789/100),2))</f>
        <v/>
      </c>
      <c r="O789" s="9" t="n"/>
      <c r="P789" s="9" t="n"/>
      <c r="Q789" s="9" t="n"/>
      <c r="R789" s="9" t="n"/>
      <c r="S789" s="9" t="n"/>
    </row>
    <row r="790">
      <c r="A790" s="9" t="n"/>
      <c r="B790" s="9" t="n"/>
      <c r="C790" s="30" t="n"/>
      <c r="D790" s="9">
        <f>IF($C790="","",YEAR($C790)&amp;"-"&amp;TEXT(MONTH($C790),"00"))</f>
        <v/>
      </c>
      <c r="E790" s="9" t="n"/>
      <c r="F790" s="9" t="n"/>
      <c r="G790" s="9" t="n"/>
      <c r="H790" s="24" t="n"/>
      <c r="I790" s="9" t="n"/>
      <c r="J790" s="24" t="n"/>
      <c r="K790" s="24" t="n"/>
      <c r="L790" s="24">
        <f>IF($H790="","",ROUND($H790*$J790-N($K790),2))</f>
        <v/>
      </c>
      <c r="M790" s="31" t="n"/>
      <c r="N790" s="24">
        <f>IF(OR($L790="",$M790=""),"",ROUND($L790-$L790/(1+$M790/100),2))</f>
        <v/>
      </c>
      <c r="O790" s="9" t="n"/>
      <c r="P790" s="9" t="n"/>
      <c r="Q790" s="9" t="n"/>
      <c r="R790" s="9" t="n"/>
      <c r="S790" s="9" t="n"/>
    </row>
    <row r="791">
      <c r="A791" s="9" t="n"/>
      <c r="B791" s="9" t="n"/>
      <c r="C791" s="30" t="n"/>
      <c r="D791" s="9">
        <f>IF($C791="","",YEAR($C791)&amp;"-"&amp;TEXT(MONTH($C791),"00"))</f>
        <v/>
      </c>
      <c r="E791" s="9" t="n"/>
      <c r="F791" s="9" t="n"/>
      <c r="G791" s="9" t="n"/>
      <c r="H791" s="24" t="n"/>
      <c r="I791" s="9" t="n"/>
      <c r="J791" s="24" t="n"/>
      <c r="K791" s="24" t="n"/>
      <c r="L791" s="24">
        <f>IF($H791="","",ROUND($H791*$J791-N($K791),2))</f>
        <v/>
      </c>
      <c r="M791" s="31" t="n"/>
      <c r="N791" s="24">
        <f>IF(OR($L791="",$M791=""),"",ROUND($L791-$L791/(1+$M791/100),2))</f>
        <v/>
      </c>
      <c r="O791" s="9" t="n"/>
      <c r="P791" s="9" t="n"/>
      <c r="Q791" s="9" t="n"/>
      <c r="R791" s="9" t="n"/>
      <c r="S791" s="9" t="n"/>
    </row>
    <row r="792">
      <c r="A792" s="9" t="n"/>
      <c r="B792" s="9" t="n"/>
      <c r="C792" s="30" t="n"/>
      <c r="D792" s="9">
        <f>IF($C792="","",YEAR($C792)&amp;"-"&amp;TEXT(MONTH($C792),"00"))</f>
        <v/>
      </c>
      <c r="E792" s="9" t="n"/>
      <c r="F792" s="9" t="n"/>
      <c r="G792" s="9" t="n"/>
      <c r="H792" s="24" t="n"/>
      <c r="I792" s="9" t="n"/>
      <c r="J792" s="24" t="n"/>
      <c r="K792" s="24" t="n"/>
      <c r="L792" s="24">
        <f>IF($H792="","",ROUND($H792*$J792-N($K792),2))</f>
        <v/>
      </c>
      <c r="M792" s="31" t="n"/>
      <c r="N792" s="24">
        <f>IF(OR($L792="",$M792=""),"",ROUND($L792-$L792/(1+$M792/100),2))</f>
        <v/>
      </c>
      <c r="O792" s="9" t="n"/>
      <c r="P792" s="9" t="n"/>
      <c r="Q792" s="9" t="n"/>
      <c r="R792" s="9" t="n"/>
      <c r="S792" s="9" t="n"/>
    </row>
    <row r="793">
      <c r="A793" s="9" t="n"/>
      <c r="B793" s="9" t="n"/>
      <c r="C793" s="30" t="n"/>
      <c r="D793" s="9">
        <f>IF($C793="","",YEAR($C793)&amp;"-"&amp;TEXT(MONTH($C793),"00"))</f>
        <v/>
      </c>
      <c r="E793" s="9" t="n"/>
      <c r="F793" s="9" t="n"/>
      <c r="G793" s="9" t="n"/>
      <c r="H793" s="24" t="n"/>
      <c r="I793" s="9" t="n"/>
      <c r="J793" s="24" t="n"/>
      <c r="K793" s="24" t="n"/>
      <c r="L793" s="24">
        <f>IF($H793="","",ROUND($H793*$J793-N($K793),2))</f>
        <v/>
      </c>
      <c r="M793" s="31" t="n"/>
      <c r="N793" s="24">
        <f>IF(OR($L793="",$M793=""),"",ROUND($L793-$L793/(1+$M793/100),2))</f>
        <v/>
      </c>
      <c r="O793" s="9" t="n"/>
      <c r="P793" s="9" t="n"/>
      <c r="Q793" s="9" t="n"/>
      <c r="R793" s="9" t="n"/>
      <c r="S793" s="9" t="n"/>
    </row>
    <row r="794">
      <c r="A794" s="9" t="n"/>
      <c r="B794" s="9" t="n"/>
      <c r="C794" s="30" t="n"/>
      <c r="D794" s="9">
        <f>IF($C794="","",YEAR($C794)&amp;"-"&amp;TEXT(MONTH($C794),"00"))</f>
        <v/>
      </c>
      <c r="E794" s="9" t="n"/>
      <c r="F794" s="9" t="n"/>
      <c r="G794" s="9" t="n"/>
      <c r="H794" s="24" t="n"/>
      <c r="I794" s="9" t="n"/>
      <c r="J794" s="24" t="n"/>
      <c r="K794" s="24" t="n"/>
      <c r="L794" s="24">
        <f>IF($H794="","",ROUND($H794*$J794-N($K794),2))</f>
        <v/>
      </c>
      <c r="M794" s="31" t="n"/>
      <c r="N794" s="24">
        <f>IF(OR($L794="",$M794=""),"",ROUND($L794-$L794/(1+$M794/100),2))</f>
        <v/>
      </c>
      <c r="O794" s="9" t="n"/>
      <c r="P794" s="9" t="n"/>
      <c r="Q794" s="9" t="n"/>
      <c r="R794" s="9" t="n"/>
      <c r="S794" s="9" t="n"/>
    </row>
    <row r="795">
      <c r="A795" s="9" t="n"/>
      <c r="B795" s="9" t="n"/>
      <c r="C795" s="30" t="n"/>
      <c r="D795" s="9">
        <f>IF($C795="","",YEAR($C795)&amp;"-"&amp;TEXT(MONTH($C795),"00"))</f>
        <v/>
      </c>
      <c r="E795" s="9" t="n"/>
      <c r="F795" s="9" t="n"/>
      <c r="G795" s="9" t="n"/>
      <c r="H795" s="24" t="n"/>
      <c r="I795" s="9" t="n"/>
      <c r="J795" s="24" t="n"/>
      <c r="K795" s="24" t="n"/>
      <c r="L795" s="24">
        <f>IF($H795="","",ROUND($H795*$J795-N($K795),2))</f>
        <v/>
      </c>
      <c r="M795" s="31" t="n"/>
      <c r="N795" s="24">
        <f>IF(OR($L795="",$M795=""),"",ROUND($L795-$L795/(1+$M795/100),2))</f>
        <v/>
      </c>
      <c r="O795" s="9" t="n"/>
      <c r="P795" s="9" t="n"/>
      <c r="Q795" s="9" t="n"/>
      <c r="R795" s="9" t="n"/>
      <c r="S795" s="9" t="n"/>
    </row>
    <row r="796">
      <c r="A796" s="9" t="n"/>
      <c r="B796" s="9" t="n"/>
      <c r="C796" s="30" t="n"/>
      <c r="D796" s="9">
        <f>IF($C796="","",YEAR($C796)&amp;"-"&amp;TEXT(MONTH($C796),"00"))</f>
        <v/>
      </c>
      <c r="E796" s="9" t="n"/>
      <c r="F796" s="9" t="n"/>
      <c r="G796" s="9" t="n"/>
      <c r="H796" s="24" t="n"/>
      <c r="I796" s="9" t="n"/>
      <c r="J796" s="24" t="n"/>
      <c r="K796" s="24" t="n"/>
      <c r="L796" s="24">
        <f>IF($H796="","",ROUND($H796*$J796-N($K796),2))</f>
        <v/>
      </c>
      <c r="M796" s="31" t="n"/>
      <c r="N796" s="24">
        <f>IF(OR($L796="",$M796=""),"",ROUND($L796-$L796/(1+$M796/100),2))</f>
        <v/>
      </c>
      <c r="O796" s="9" t="n"/>
      <c r="P796" s="9" t="n"/>
      <c r="Q796" s="9" t="n"/>
      <c r="R796" s="9" t="n"/>
      <c r="S796" s="9" t="n"/>
    </row>
    <row r="797">
      <c r="A797" s="9" t="n"/>
      <c r="B797" s="9" t="n"/>
      <c r="C797" s="30" t="n"/>
      <c r="D797" s="9">
        <f>IF($C797="","",YEAR($C797)&amp;"-"&amp;TEXT(MONTH($C797),"00"))</f>
        <v/>
      </c>
      <c r="E797" s="9" t="n"/>
      <c r="F797" s="9" t="n"/>
      <c r="G797" s="9" t="n"/>
      <c r="H797" s="24" t="n"/>
      <c r="I797" s="9" t="n"/>
      <c r="J797" s="24" t="n"/>
      <c r="K797" s="24" t="n"/>
      <c r="L797" s="24">
        <f>IF($H797="","",ROUND($H797*$J797-N($K797),2))</f>
        <v/>
      </c>
      <c r="M797" s="31" t="n"/>
      <c r="N797" s="24">
        <f>IF(OR($L797="",$M797=""),"",ROUND($L797-$L797/(1+$M797/100),2))</f>
        <v/>
      </c>
      <c r="O797" s="9" t="n"/>
      <c r="P797" s="9" t="n"/>
      <c r="Q797" s="9" t="n"/>
      <c r="R797" s="9" t="n"/>
      <c r="S797" s="9" t="n"/>
    </row>
    <row r="798">
      <c r="A798" s="9" t="n"/>
      <c r="B798" s="9" t="n"/>
      <c r="C798" s="30" t="n"/>
      <c r="D798" s="9">
        <f>IF($C798="","",YEAR($C798)&amp;"-"&amp;TEXT(MONTH($C798),"00"))</f>
        <v/>
      </c>
      <c r="E798" s="9" t="n"/>
      <c r="F798" s="9" t="n"/>
      <c r="G798" s="9" t="n"/>
      <c r="H798" s="24" t="n"/>
      <c r="I798" s="9" t="n"/>
      <c r="J798" s="24" t="n"/>
      <c r="K798" s="24" t="n"/>
      <c r="L798" s="24">
        <f>IF($H798="","",ROUND($H798*$J798-N($K798),2))</f>
        <v/>
      </c>
      <c r="M798" s="31" t="n"/>
      <c r="N798" s="24">
        <f>IF(OR($L798="",$M798=""),"",ROUND($L798-$L798/(1+$M798/100),2))</f>
        <v/>
      </c>
      <c r="O798" s="9" t="n"/>
      <c r="P798" s="9" t="n"/>
      <c r="Q798" s="9" t="n"/>
      <c r="R798" s="9" t="n"/>
      <c r="S798" s="9" t="n"/>
    </row>
    <row r="799">
      <c r="A799" s="9" t="n"/>
      <c r="B799" s="9" t="n"/>
      <c r="C799" s="30" t="n"/>
      <c r="D799" s="9">
        <f>IF($C799="","",YEAR($C799)&amp;"-"&amp;TEXT(MONTH($C799),"00"))</f>
        <v/>
      </c>
      <c r="E799" s="9" t="n"/>
      <c r="F799" s="9" t="n"/>
      <c r="G799" s="9" t="n"/>
      <c r="H799" s="24" t="n"/>
      <c r="I799" s="9" t="n"/>
      <c r="J799" s="24" t="n"/>
      <c r="K799" s="24" t="n"/>
      <c r="L799" s="24">
        <f>IF($H799="","",ROUND($H799*$J799-N($K799),2))</f>
        <v/>
      </c>
      <c r="M799" s="31" t="n"/>
      <c r="N799" s="24">
        <f>IF(OR($L799="",$M799=""),"",ROUND($L799-$L799/(1+$M799/100),2))</f>
        <v/>
      </c>
      <c r="O799" s="9" t="n"/>
      <c r="P799" s="9" t="n"/>
      <c r="Q799" s="9" t="n"/>
      <c r="R799" s="9" t="n"/>
      <c r="S799" s="9" t="n"/>
    </row>
    <row r="800">
      <c r="A800" s="9" t="n"/>
      <c r="B800" s="9" t="n"/>
      <c r="C800" s="30" t="n"/>
      <c r="D800" s="9">
        <f>IF($C800="","",YEAR($C800)&amp;"-"&amp;TEXT(MONTH($C800),"00"))</f>
        <v/>
      </c>
      <c r="E800" s="9" t="n"/>
      <c r="F800" s="9" t="n"/>
      <c r="G800" s="9" t="n"/>
      <c r="H800" s="24" t="n"/>
      <c r="I800" s="9" t="n"/>
      <c r="J800" s="24" t="n"/>
      <c r="K800" s="24" t="n"/>
      <c r="L800" s="24">
        <f>IF($H800="","",ROUND($H800*$J800-N($K800),2))</f>
        <v/>
      </c>
      <c r="M800" s="31" t="n"/>
      <c r="N800" s="24">
        <f>IF(OR($L800="",$M800=""),"",ROUND($L800-$L800/(1+$M800/100),2))</f>
        <v/>
      </c>
      <c r="O800" s="9" t="n"/>
      <c r="P800" s="9" t="n"/>
      <c r="Q800" s="9" t="n"/>
      <c r="R800" s="9" t="n"/>
      <c r="S800" s="9" t="n"/>
    </row>
    <row r="801">
      <c r="A801" s="9" t="n"/>
      <c r="B801" s="9" t="n"/>
      <c r="C801" s="30" t="n"/>
      <c r="D801" s="9">
        <f>IF($C801="","",YEAR($C801)&amp;"-"&amp;TEXT(MONTH($C801),"00"))</f>
        <v/>
      </c>
      <c r="E801" s="9" t="n"/>
      <c r="F801" s="9" t="n"/>
      <c r="G801" s="9" t="n"/>
      <c r="H801" s="24" t="n"/>
      <c r="I801" s="9" t="n"/>
      <c r="J801" s="24" t="n"/>
      <c r="K801" s="24" t="n"/>
      <c r="L801" s="24">
        <f>IF($H801="","",ROUND($H801*$J801-N($K801),2))</f>
        <v/>
      </c>
      <c r="M801" s="31" t="n"/>
      <c r="N801" s="24">
        <f>IF(OR($L801="",$M801=""),"",ROUND($L801-$L801/(1+$M801/100),2))</f>
        <v/>
      </c>
      <c r="O801" s="9" t="n"/>
      <c r="P801" s="9" t="n"/>
      <c r="Q801" s="9" t="n"/>
      <c r="R801" s="9" t="n"/>
      <c r="S801" s="9" t="n"/>
    </row>
    <row r="802">
      <c r="A802" s="9" t="n"/>
      <c r="B802" s="9" t="n"/>
      <c r="C802" s="30" t="n"/>
      <c r="D802" s="9">
        <f>IF($C802="","",YEAR($C802)&amp;"-"&amp;TEXT(MONTH($C802),"00"))</f>
        <v/>
      </c>
      <c r="E802" s="9" t="n"/>
      <c r="F802" s="9" t="n"/>
      <c r="G802" s="9" t="n"/>
      <c r="H802" s="24" t="n"/>
      <c r="I802" s="9" t="n"/>
      <c r="J802" s="24" t="n"/>
      <c r="K802" s="24" t="n"/>
      <c r="L802" s="24">
        <f>IF($H802="","",ROUND($H802*$J802-N($K802),2))</f>
        <v/>
      </c>
      <c r="M802" s="31" t="n"/>
      <c r="N802" s="24">
        <f>IF(OR($L802="",$M802=""),"",ROUND($L802-$L802/(1+$M802/100),2))</f>
        <v/>
      </c>
      <c r="O802" s="9" t="n"/>
      <c r="P802" s="9" t="n"/>
      <c r="Q802" s="9" t="n"/>
      <c r="R802" s="9" t="n"/>
      <c r="S802" s="9" t="n"/>
    </row>
    <row r="803">
      <c r="A803" s="9" t="n"/>
      <c r="B803" s="9" t="n"/>
      <c r="C803" s="30" t="n"/>
      <c r="D803" s="9">
        <f>IF($C803="","",YEAR($C803)&amp;"-"&amp;TEXT(MONTH($C803),"00"))</f>
        <v/>
      </c>
      <c r="E803" s="9" t="n"/>
      <c r="F803" s="9" t="n"/>
      <c r="G803" s="9" t="n"/>
      <c r="H803" s="24" t="n"/>
      <c r="I803" s="9" t="n"/>
      <c r="J803" s="24" t="n"/>
      <c r="K803" s="24" t="n"/>
      <c r="L803" s="24">
        <f>IF($H803="","",ROUND($H803*$J803-N($K803),2))</f>
        <v/>
      </c>
      <c r="M803" s="31" t="n"/>
      <c r="N803" s="24">
        <f>IF(OR($L803="",$M803=""),"",ROUND($L803-$L803/(1+$M803/100),2))</f>
        <v/>
      </c>
      <c r="O803" s="9" t="n"/>
      <c r="P803" s="9" t="n"/>
      <c r="Q803" s="9" t="n"/>
      <c r="R803" s="9" t="n"/>
      <c r="S803" s="9" t="n"/>
    </row>
    <row r="804">
      <c r="A804" s="9" t="n"/>
      <c r="B804" s="9" t="n"/>
      <c r="C804" s="30" t="n"/>
      <c r="D804" s="9">
        <f>IF($C804="","",YEAR($C804)&amp;"-"&amp;TEXT(MONTH($C804),"00"))</f>
        <v/>
      </c>
      <c r="E804" s="9" t="n"/>
      <c r="F804" s="9" t="n"/>
      <c r="G804" s="9" t="n"/>
      <c r="H804" s="24" t="n"/>
      <c r="I804" s="9" t="n"/>
      <c r="J804" s="24" t="n"/>
      <c r="K804" s="24" t="n"/>
      <c r="L804" s="24">
        <f>IF($H804="","",ROUND($H804*$J804-N($K804),2))</f>
        <v/>
      </c>
      <c r="M804" s="31" t="n"/>
      <c r="N804" s="24">
        <f>IF(OR($L804="",$M804=""),"",ROUND($L804-$L804/(1+$M804/100),2))</f>
        <v/>
      </c>
      <c r="O804" s="9" t="n"/>
      <c r="P804" s="9" t="n"/>
      <c r="Q804" s="9" t="n"/>
      <c r="R804" s="9" t="n"/>
      <c r="S804" s="9" t="n"/>
    </row>
    <row r="805">
      <c r="A805" s="9" t="n"/>
      <c r="B805" s="9" t="n"/>
      <c r="C805" s="30" t="n"/>
      <c r="D805" s="9">
        <f>IF($C805="","",YEAR($C805)&amp;"-"&amp;TEXT(MONTH($C805),"00"))</f>
        <v/>
      </c>
      <c r="E805" s="9" t="n"/>
      <c r="F805" s="9" t="n"/>
      <c r="G805" s="9" t="n"/>
      <c r="H805" s="24" t="n"/>
      <c r="I805" s="9" t="n"/>
      <c r="J805" s="24" t="n"/>
      <c r="K805" s="24" t="n"/>
      <c r="L805" s="24">
        <f>IF($H805="","",ROUND($H805*$J805-N($K805),2))</f>
        <v/>
      </c>
      <c r="M805" s="31" t="n"/>
      <c r="N805" s="24">
        <f>IF(OR($L805="",$M805=""),"",ROUND($L805-$L805/(1+$M805/100),2))</f>
        <v/>
      </c>
      <c r="O805" s="9" t="n"/>
      <c r="P805" s="9" t="n"/>
      <c r="Q805" s="9" t="n"/>
      <c r="R805" s="9" t="n"/>
      <c r="S805" s="9" t="n"/>
    </row>
    <row r="806">
      <c r="A806" s="9" t="n"/>
      <c r="B806" s="9" t="n"/>
      <c r="C806" s="30" t="n"/>
      <c r="D806" s="9">
        <f>IF($C806="","",YEAR($C806)&amp;"-"&amp;TEXT(MONTH($C806),"00"))</f>
        <v/>
      </c>
      <c r="E806" s="9" t="n"/>
      <c r="F806" s="9" t="n"/>
      <c r="G806" s="9" t="n"/>
      <c r="H806" s="24" t="n"/>
      <c r="I806" s="9" t="n"/>
      <c r="J806" s="24" t="n"/>
      <c r="K806" s="24" t="n"/>
      <c r="L806" s="24">
        <f>IF($H806="","",ROUND($H806*$J806-N($K806),2))</f>
        <v/>
      </c>
      <c r="M806" s="31" t="n"/>
      <c r="N806" s="24">
        <f>IF(OR($L806="",$M806=""),"",ROUND($L806-$L806/(1+$M806/100),2))</f>
        <v/>
      </c>
      <c r="O806" s="9" t="n"/>
      <c r="P806" s="9" t="n"/>
      <c r="Q806" s="9" t="n"/>
      <c r="R806" s="9" t="n"/>
      <c r="S806" s="9" t="n"/>
    </row>
    <row r="807">
      <c r="A807" s="9" t="n"/>
      <c r="B807" s="9" t="n"/>
      <c r="C807" s="30" t="n"/>
      <c r="D807" s="9">
        <f>IF($C807="","",YEAR($C807)&amp;"-"&amp;TEXT(MONTH($C807),"00"))</f>
        <v/>
      </c>
      <c r="E807" s="9" t="n"/>
      <c r="F807" s="9" t="n"/>
      <c r="G807" s="9" t="n"/>
      <c r="H807" s="24" t="n"/>
      <c r="I807" s="9" t="n"/>
      <c r="J807" s="24" t="n"/>
      <c r="K807" s="24" t="n"/>
      <c r="L807" s="24">
        <f>IF($H807="","",ROUND($H807*$J807-N($K807),2))</f>
        <v/>
      </c>
      <c r="M807" s="31" t="n"/>
      <c r="N807" s="24">
        <f>IF(OR($L807="",$M807=""),"",ROUND($L807-$L807/(1+$M807/100),2))</f>
        <v/>
      </c>
      <c r="O807" s="9" t="n"/>
      <c r="P807" s="9" t="n"/>
      <c r="Q807" s="9" t="n"/>
      <c r="R807" s="9" t="n"/>
      <c r="S807" s="9" t="n"/>
    </row>
    <row r="808">
      <c r="A808" s="9" t="n"/>
      <c r="B808" s="9" t="n"/>
      <c r="C808" s="30" t="n"/>
      <c r="D808" s="9">
        <f>IF($C808="","",YEAR($C808)&amp;"-"&amp;TEXT(MONTH($C808),"00"))</f>
        <v/>
      </c>
      <c r="E808" s="9" t="n"/>
      <c r="F808" s="9" t="n"/>
      <c r="G808" s="9" t="n"/>
      <c r="H808" s="24" t="n"/>
      <c r="I808" s="9" t="n"/>
      <c r="J808" s="24" t="n"/>
      <c r="K808" s="24" t="n"/>
      <c r="L808" s="24">
        <f>IF($H808="","",ROUND($H808*$J808-N($K808),2))</f>
        <v/>
      </c>
      <c r="M808" s="31" t="n"/>
      <c r="N808" s="24">
        <f>IF(OR($L808="",$M808=""),"",ROUND($L808-$L808/(1+$M808/100),2))</f>
        <v/>
      </c>
      <c r="O808" s="9" t="n"/>
      <c r="P808" s="9" t="n"/>
      <c r="Q808" s="9" t="n"/>
      <c r="R808" s="9" t="n"/>
      <c r="S808" s="9" t="n"/>
    </row>
    <row r="809">
      <c r="A809" s="9" t="n"/>
      <c r="B809" s="9" t="n"/>
      <c r="C809" s="30" t="n"/>
      <c r="D809" s="9">
        <f>IF($C809="","",YEAR($C809)&amp;"-"&amp;TEXT(MONTH($C809),"00"))</f>
        <v/>
      </c>
      <c r="E809" s="9" t="n"/>
      <c r="F809" s="9" t="n"/>
      <c r="G809" s="9" t="n"/>
      <c r="H809" s="24" t="n"/>
      <c r="I809" s="9" t="n"/>
      <c r="J809" s="24" t="n"/>
      <c r="K809" s="24" t="n"/>
      <c r="L809" s="24">
        <f>IF($H809="","",ROUND($H809*$J809-N($K809),2))</f>
        <v/>
      </c>
      <c r="M809" s="31" t="n"/>
      <c r="N809" s="24">
        <f>IF(OR($L809="",$M809=""),"",ROUND($L809-$L809/(1+$M809/100),2))</f>
        <v/>
      </c>
      <c r="O809" s="9" t="n"/>
      <c r="P809" s="9" t="n"/>
      <c r="Q809" s="9" t="n"/>
      <c r="R809" s="9" t="n"/>
      <c r="S809" s="9" t="n"/>
    </row>
    <row r="810">
      <c r="A810" s="9" t="n"/>
      <c r="B810" s="9" t="n"/>
      <c r="C810" s="30" t="n"/>
      <c r="D810" s="9">
        <f>IF($C810="","",YEAR($C810)&amp;"-"&amp;TEXT(MONTH($C810),"00"))</f>
        <v/>
      </c>
      <c r="E810" s="9" t="n"/>
      <c r="F810" s="9" t="n"/>
      <c r="G810" s="9" t="n"/>
      <c r="H810" s="24" t="n"/>
      <c r="I810" s="9" t="n"/>
      <c r="J810" s="24" t="n"/>
      <c r="K810" s="24" t="n"/>
      <c r="L810" s="24">
        <f>IF($H810="","",ROUND($H810*$J810-N($K810),2))</f>
        <v/>
      </c>
      <c r="M810" s="31" t="n"/>
      <c r="N810" s="24">
        <f>IF(OR($L810="",$M810=""),"",ROUND($L810-$L810/(1+$M810/100),2))</f>
        <v/>
      </c>
      <c r="O810" s="9" t="n"/>
      <c r="P810" s="9" t="n"/>
      <c r="Q810" s="9" t="n"/>
      <c r="R810" s="9" t="n"/>
      <c r="S810" s="9" t="n"/>
    </row>
    <row r="811">
      <c r="A811" s="9" t="n"/>
      <c r="B811" s="9" t="n"/>
      <c r="C811" s="30" t="n"/>
      <c r="D811" s="9">
        <f>IF($C811="","",YEAR($C811)&amp;"-"&amp;TEXT(MONTH($C811),"00"))</f>
        <v/>
      </c>
      <c r="E811" s="9" t="n"/>
      <c r="F811" s="9" t="n"/>
      <c r="G811" s="9" t="n"/>
      <c r="H811" s="24" t="n"/>
      <c r="I811" s="9" t="n"/>
      <c r="J811" s="24" t="n"/>
      <c r="K811" s="24" t="n"/>
      <c r="L811" s="24">
        <f>IF($H811="","",ROUND($H811*$J811-N($K811),2))</f>
        <v/>
      </c>
      <c r="M811" s="31" t="n"/>
      <c r="N811" s="24">
        <f>IF(OR($L811="",$M811=""),"",ROUND($L811-$L811/(1+$M811/100),2))</f>
        <v/>
      </c>
      <c r="O811" s="9" t="n"/>
      <c r="P811" s="9" t="n"/>
      <c r="Q811" s="9" t="n"/>
      <c r="R811" s="9" t="n"/>
      <c r="S811" s="9" t="n"/>
    </row>
    <row r="812">
      <c r="A812" s="9" t="n"/>
      <c r="B812" s="9" t="n"/>
      <c r="C812" s="30" t="n"/>
      <c r="D812" s="9">
        <f>IF($C812="","",YEAR($C812)&amp;"-"&amp;TEXT(MONTH($C812),"00"))</f>
        <v/>
      </c>
      <c r="E812" s="9" t="n"/>
      <c r="F812" s="9" t="n"/>
      <c r="G812" s="9" t="n"/>
      <c r="H812" s="24" t="n"/>
      <c r="I812" s="9" t="n"/>
      <c r="J812" s="24" t="n"/>
      <c r="K812" s="24" t="n"/>
      <c r="L812" s="24">
        <f>IF($H812="","",ROUND($H812*$J812-N($K812),2))</f>
        <v/>
      </c>
      <c r="M812" s="31" t="n"/>
      <c r="N812" s="24">
        <f>IF(OR($L812="",$M812=""),"",ROUND($L812-$L812/(1+$M812/100),2))</f>
        <v/>
      </c>
      <c r="O812" s="9" t="n"/>
      <c r="P812" s="9" t="n"/>
      <c r="Q812" s="9" t="n"/>
      <c r="R812" s="9" t="n"/>
      <c r="S812" s="9" t="n"/>
    </row>
    <row r="813">
      <c r="A813" s="9" t="n"/>
      <c r="B813" s="9" t="n"/>
      <c r="C813" s="30" t="n"/>
      <c r="D813" s="9">
        <f>IF($C813="","",YEAR($C813)&amp;"-"&amp;TEXT(MONTH($C813),"00"))</f>
        <v/>
      </c>
      <c r="E813" s="9" t="n"/>
      <c r="F813" s="9" t="n"/>
      <c r="G813" s="9" t="n"/>
      <c r="H813" s="24" t="n"/>
      <c r="I813" s="9" t="n"/>
      <c r="J813" s="24" t="n"/>
      <c r="K813" s="24" t="n"/>
      <c r="L813" s="24">
        <f>IF($H813="","",ROUND($H813*$J813-N($K813),2))</f>
        <v/>
      </c>
      <c r="M813" s="31" t="n"/>
      <c r="N813" s="24">
        <f>IF(OR($L813="",$M813=""),"",ROUND($L813-$L813/(1+$M813/100),2))</f>
        <v/>
      </c>
      <c r="O813" s="9" t="n"/>
      <c r="P813" s="9" t="n"/>
      <c r="Q813" s="9" t="n"/>
      <c r="R813" s="9" t="n"/>
      <c r="S813" s="9" t="n"/>
    </row>
    <row r="814">
      <c r="A814" s="9" t="n"/>
      <c r="B814" s="9" t="n"/>
      <c r="C814" s="30" t="n"/>
      <c r="D814" s="9">
        <f>IF($C814="","",YEAR($C814)&amp;"-"&amp;TEXT(MONTH($C814),"00"))</f>
        <v/>
      </c>
      <c r="E814" s="9" t="n"/>
      <c r="F814" s="9" t="n"/>
      <c r="G814" s="9" t="n"/>
      <c r="H814" s="24" t="n"/>
      <c r="I814" s="9" t="n"/>
      <c r="J814" s="24" t="n"/>
      <c r="K814" s="24" t="n"/>
      <c r="L814" s="24">
        <f>IF($H814="","",ROUND($H814*$J814-N($K814),2))</f>
        <v/>
      </c>
      <c r="M814" s="31" t="n"/>
      <c r="N814" s="24">
        <f>IF(OR($L814="",$M814=""),"",ROUND($L814-$L814/(1+$M814/100),2))</f>
        <v/>
      </c>
      <c r="O814" s="9" t="n"/>
      <c r="P814" s="9" t="n"/>
      <c r="Q814" s="9" t="n"/>
      <c r="R814" s="9" t="n"/>
      <c r="S814" s="9" t="n"/>
    </row>
    <row r="815">
      <c r="A815" s="9" t="n"/>
      <c r="B815" s="9" t="n"/>
      <c r="C815" s="30" t="n"/>
      <c r="D815" s="9">
        <f>IF($C815="","",YEAR($C815)&amp;"-"&amp;TEXT(MONTH($C815),"00"))</f>
        <v/>
      </c>
      <c r="E815" s="9" t="n"/>
      <c r="F815" s="9" t="n"/>
      <c r="G815" s="9" t="n"/>
      <c r="H815" s="24" t="n"/>
      <c r="I815" s="9" t="n"/>
      <c r="J815" s="24" t="n"/>
      <c r="K815" s="24" t="n"/>
      <c r="L815" s="24">
        <f>IF($H815="","",ROUND($H815*$J815-N($K815),2))</f>
        <v/>
      </c>
      <c r="M815" s="31" t="n"/>
      <c r="N815" s="24">
        <f>IF(OR($L815="",$M815=""),"",ROUND($L815-$L815/(1+$M815/100),2))</f>
        <v/>
      </c>
      <c r="O815" s="9" t="n"/>
      <c r="P815" s="9" t="n"/>
      <c r="Q815" s="9" t="n"/>
      <c r="R815" s="9" t="n"/>
      <c r="S815" s="9" t="n"/>
    </row>
    <row r="816">
      <c r="A816" s="9" t="n"/>
      <c r="B816" s="9" t="n"/>
      <c r="C816" s="30" t="n"/>
      <c r="D816" s="9">
        <f>IF($C816="","",YEAR($C816)&amp;"-"&amp;TEXT(MONTH($C816),"00"))</f>
        <v/>
      </c>
      <c r="E816" s="9" t="n"/>
      <c r="F816" s="9" t="n"/>
      <c r="G816" s="9" t="n"/>
      <c r="H816" s="24" t="n"/>
      <c r="I816" s="9" t="n"/>
      <c r="J816" s="24" t="n"/>
      <c r="K816" s="24" t="n"/>
      <c r="L816" s="24">
        <f>IF($H816="","",ROUND($H816*$J816-N($K816),2))</f>
        <v/>
      </c>
      <c r="M816" s="31" t="n"/>
      <c r="N816" s="24">
        <f>IF(OR($L816="",$M816=""),"",ROUND($L816-$L816/(1+$M816/100),2))</f>
        <v/>
      </c>
      <c r="O816" s="9" t="n"/>
      <c r="P816" s="9" t="n"/>
      <c r="Q816" s="9" t="n"/>
      <c r="R816" s="9" t="n"/>
      <c r="S816" s="9" t="n"/>
    </row>
    <row r="817">
      <c r="A817" s="9" t="n"/>
      <c r="B817" s="9" t="n"/>
      <c r="C817" s="30" t="n"/>
      <c r="D817" s="9">
        <f>IF($C817="","",YEAR($C817)&amp;"-"&amp;TEXT(MONTH($C817),"00"))</f>
        <v/>
      </c>
      <c r="E817" s="9" t="n"/>
      <c r="F817" s="9" t="n"/>
      <c r="G817" s="9" t="n"/>
      <c r="H817" s="24" t="n"/>
      <c r="I817" s="9" t="n"/>
      <c r="J817" s="24" t="n"/>
      <c r="K817" s="24" t="n"/>
      <c r="L817" s="24">
        <f>IF($H817="","",ROUND($H817*$J817-N($K817),2))</f>
        <v/>
      </c>
      <c r="M817" s="31" t="n"/>
      <c r="N817" s="24">
        <f>IF(OR($L817="",$M817=""),"",ROUND($L817-$L817/(1+$M817/100),2))</f>
        <v/>
      </c>
      <c r="O817" s="9" t="n"/>
      <c r="P817" s="9" t="n"/>
      <c r="Q817" s="9" t="n"/>
      <c r="R817" s="9" t="n"/>
      <c r="S817" s="9" t="n"/>
    </row>
    <row r="818">
      <c r="A818" s="9" t="n"/>
      <c r="B818" s="9" t="n"/>
      <c r="C818" s="30" t="n"/>
      <c r="D818" s="9">
        <f>IF($C818="","",YEAR($C818)&amp;"-"&amp;TEXT(MONTH($C818),"00"))</f>
        <v/>
      </c>
      <c r="E818" s="9" t="n"/>
      <c r="F818" s="9" t="n"/>
      <c r="G818" s="9" t="n"/>
      <c r="H818" s="24" t="n"/>
      <c r="I818" s="9" t="n"/>
      <c r="J818" s="24" t="n"/>
      <c r="K818" s="24" t="n"/>
      <c r="L818" s="24">
        <f>IF($H818="","",ROUND($H818*$J818-N($K818),2))</f>
        <v/>
      </c>
      <c r="M818" s="31" t="n"/>
      <c r="N818" s="24">
        <f>IF(OR($L818="",$M818=""),"",ROUND($L818-$L818/(1+$M818/100),2))</f>
        <v/>
      </c>
      <c r="O818" s="9" t="n"/>
      <c r="P818" s="9" t="n"/>
      <c r="Q818" s="9" t="n"/>
      <c r="R818" s="9" t="n"/>
      <c r="S818" s="9" t="n"/>
    </row>
    <row r="819">
      <c r="A819" s="9" t="n"/>
      <c r="B819" s="9" t="n"/>
      <c r="C819" s="30" t="n"/>
      <c r="D819" s="9">
        <f>IF($C819="","",YEAR($C819)&amp;"-"&amp;TEXT(MONTH($C819),"00"))</f>
        <v/>
      </c>
      <c r="E819" s="9" t="n"/>
      <c r="F819" s="9" t="n"/>
      <c r="G819" s="9" t="n"/>
      <c r="H819" s="24" t="n"/>
      <c r="I819" s="9" t="n"/>
      <c r="J819" s="24" t="n"/>
      <c r="K819" s="24" t="n"/>
      <c r="L819" s="24">
        <f>IF($H819="","",ROUND($H819*$J819-N($K819),2))</f>
        <v/>
      </c>
      <c r="M819" s="31" t="n"/>
      <c r="N819" s="24">
        <f>IF(OR($L819="",$M819=""),"",ROUND($L819-$L819/(1+$M819/100),2))</f>
        <v/>
      </c>
      <c r="O819" s="9" t="n"/>
      <c r="P819" s="9" t="n"/>
      <c r="Q819" s="9" t="n"/>
      <c r="R819" s="9" t="n"/>
      <c r="S819" s="9" t="n"/>
    </row>
    <row r="820">
      <c r="A820" s="9" t="n"/>
      <c r="B820" s="9" t="n"/>
      <c r="C820" s="30" t="n"/>
      <c r="D820" s="9">
        <f>IF($C820="","",YEAR($C820)&amp;"-"&amp;TEXT(MONTH($C820),"00"))</f>
        <v/>
      </c>
      <c r="E820" s="9" t="n"/>
      <c r="F820" s="9" t="n"/>
      <c r="G820" s="9" t="n"/>
      <c r="H820" s="24" t="n"/>
      <c r="I820" s="9" t="n"/>
      <c r="J820" s="24" t="n"/>
      <c r="K820" s="24" t="n"/>
      <c r="L820" s="24">
        <f>IF($H820="","",ROUND($H820*$J820-N($K820),2))</f>
        <v/>
      </c>
      <c r="M820" s="31" t="n"/>
      <c r="N820" s="24">
        <f>IF(OR($L820="",$M820=""),"",ROUND($L820-$L820/(1+$M820/100),2))</f>
        <v/>
      </c>
      <c r="O820" s="9" t="n"/>
      <c r="P820" s="9" t="n"/>
      <c r="Q820" s="9" t="n"/>
      <c r="R820" s="9" t="n"/>
      <c r="S820" s="9" t="n"/>
    </row>
    <row r="821">
      <c r="A821" s="9" t="n"/>
      <c r="B821" s="9" t="n"/>
      <c r="C821" s="30" t="n"/>
      <c r="D821" s="9">
        <f>IF($C821="","",YEAR($C821)&amp;"-"&amp;TEXT(MONTH($C821),"00"))</f>
        <v/>
      </c>
      <c r="E821" s="9" t="n"/>
      <c r="F821" s="9" t="n"/>
      <c r="G821" s="9" t="n"/>
      <c r="H821" s="24" t="n"/>
      <c r="I821" s="9" t="n"/>
      <c r="J821" s="24" t="n"/>
      <c r="K821" s="24" t="n"/>
      <c r="L821" s="24">
        <f>IF($H821="","",ROUND($H821*$J821-N($K821),2))</f>
        <v/>
      </c>
      <c r="M821" s="31" t="n"/>
      <c r="N821" s="24">
        <f>IF(OR($L821="",$M821=""),"",ROUND($L821-$L821/(1+$M821/100),2))</f>
        <v/>
      </c>
      <c r="O821" s="9" t="n"/>
      <c r="P821" s="9" t="n"/>
      <c r="Q821" s="9" t="n"/>
      <c r="R821" s="9" t="n"/>
      <c r="S821" s="9" t="n"/>
    </row>
    <row r="822">
      <c r="A822" s="9" t="n"/>
      <c r="B822" s="9" t="n"/>
      <c r="C822" s="30" t="n"/>
      <c r="D822" s="9">
        <f>IF($C822="","",YEAR($C822)&amp;"-"&amp;TEXT(MONTH($C822),"00"))</f>
        <v/>
      </c>
      <c r="E822" s="9" t="n"/>
      <c r="F822" s="9" t="n"/>
      <c r="G822" s="9" t="n"/>
      <c r="H822" s="24" t="n"/>
      <c r="I822" s="9" t="n"/>
      <c r="J822" s="24" t="n"/>
      <c r="K822" s="24" t="n"/>
      <c r="L822" s="24">
        <f>IF($H822="","",ROUND($H822*$J822-N($K822),2))</f>
        <v/>
      </c>
      <c r="M822" s="31" t="n"/>
      <c r="N822" s="24">
        <f>IF(OR($L822="",$M822=""),"",ROUND($L822-$L822/(1+$M822/100),2))</f>
        <v/>
      </c>
      <c r="O822" s="9" t="n"/>
      <c r="P822" s="9" t="n"/>
      <c r="Q822" s="9" t="n"/>
      <c r="R822" s="9" t="n"/>
      <c r="S822" s="9" t="n"/>
    </row>
    <row r="823">
      <c r="A823" s="9" t="n"/>
      <c r="B823" s="9" t="n"/>
      <c r="C823" s="30" t="n"/>
      <c r="D823" s="9">
        <f>IF($C823="","",YEAR($C823)&amp;"-"&amp;TEXT(MONTH($C823),"00"))</f>
        <v/>
      </c>
      <c r="E823" s="9" t="n"/>
      <c r="F823" s="9" t="n"/>
      <c r="G823" s="9" t="n"/>
      <c r="H823" s="24" t="n"/>
      <c r="I823" s="9" t="n"/>
      <c r="J823" s="24" t="n"/>
      <c r="K823" s="24" t="n"/>
      <c r="L823" s="24">
        <f>IF($H823="","",ROUND($H823*$J823-N($K823),2))</f>
        <v/>
      </c>
      <c r="M823" s="31" t="n"/>
      <c r="N823" s="24">
        <f>IF(OR($L823="",$M823=""),"",ROUND($L823-$L823/(1+$M823/100),2))</f>
        <v/>
      </c>
      <c r="O823" s="9" t="n"/>
      <c r="P823" s="9" t="n"/>
      <c r="Q823" s="9" t="n"/>
      <c r="R823" s="9" t="n"/>
      <c r="S823" s="9" t="n"/>
    </row>
    <row r="824">
      <c r="A824" s="9" t="n"/>
      <c r="B824" s="9" t="n"/>
      <c r="C824" s="30" t="n"/>
      <c r="D824" s="9">
        <f>IF($C824="","",YEAR($C824)&amp;"-"&amp;TEXT(MONTH($C824),"00"))</f>
        <v/>
      </c>
      <c r="E824" s="9" t="n"/>
      <c r="F824" s="9" t="n"/>
      <c r="G824" s="9" t="n"/>
      <c r="H824" s="24" t="n"/>
      <c r="I824" s="9" t="n"/>
      <c r="J824" s="24" t="n"/>
      <c r="K824" s="24" t="n"/>
      <c r="L824" s="24">
        <f>IF($H824="","",ROUND($H824*$J824-N($K824),2))</f>
        <v/>
      </c>
      <c r="M824" s="31" t="n"/>
      <c r="N824" s="24">
        <f>IF(OR($L824="",$M824=""),"",ROUND($L824-$L824/(1+$M824/100),2))</f>
        <v/>
      </c>
      <c r="O824" s="9" t="n"/>
      <c r="P824" s="9" t="n"/>
      <c r="Q824" s="9" t="n"/>
      <c r="R824" s="9" t="n"/>
      <c r="S824" s="9" t="n"/>
    </row>
    <row r="825">
      <c r="A825" s="9" t="n"/>
      <c r="B825" s="9" t="n"/>
      <c r="C825" s="30" t="n"/>
      <c r="D825" s="9">
        <f>IF($C825="","",YEAR($C825)&amp;"-"&amp;TEXT(MONTH($C825),"00"))</f>
        <v/>
      </c>
      <c r="E825" s="9" t="n"/>
      <c r="F825" s="9" t="n"/>
      <c r="G825" s="9" t="n"/>
      <c r="H825" s="24" t="n"/>
      <c r="I825" s="9" t="n"/>
      <c r="J825" s="24" t="n"/>
      <c r="K825" s="24" t="n"/>
      <c r="L825" s="24">
        <f>IF($H825="","",ROUND($H825*$J825-N($K825),2))</f>
        <v/>
      </c>
      <c r="M825" s="31" t="n"/>
      <c r="N825" s="24">
        <f>IF(OR($L825="",$M825=""),"",ROUND($L825-$L825/(1+$M825/100),2))</f>
        <v/>
      </c>
      <c r="O825" s="9" t="n"/>
      <c r="P825" s="9" t="n"/>
      <c r="Q825" s="9" t="n"/>
      <c r="R825" s="9" t="n"/>
      <c r="S825" s="9" t="n"/>
    </row>
    <row r="826">
      <c r="A826" s="9" t="n"/>
      <c r="B826" s="9" t="n"/>
      <c r="C826" s="30" t="n"/>
      <c r="D826" s="9">
        <f>IF($C826="","",YEAR($C826)&amp;"-"&amp;TEXT(MONTH($C826),"00"))</f>
        <v/>
      </c>
      <c r="E826" s="9" t="n"/>
      <c r="F826" s="9" t="n"/>
      <c r="G826" s="9" t="n"/>
      <c r="H826" s="24" t="n"/>
      <c r="I826" s="9" t="n"/>
      <c r="J826" s="24" t="n"/>
      <c r="K826" s="24" t="n"/>
      <c r="L826" s="24">
        <f>IF($H826="","",ROUND($H826*$J826-N($K826),2))</f>
        <v/>
      </c>
      <c r="M826" s="31" t="n"/>
      <c r="N826" s="24">
        <f>IF(OR($L826="",$M826=""),"",ROUND($L826-$L826/(1+$M826/100),2))</f>
        <v/>
      </c>
      <c r="O826" s="9" t="n"/>
      <c r="P826" s="9" t="n"/>
      <c r="Q826" s="9" t="n"/>
      <c r="R826" s="9" t="n"/>
      <c r="S826" s="9" t="n"/>
    </row>
    <row r="827">
      <c r="A827" s="9" t="n"/>
      <c r="B827" s="9" t="n"/>
      <c r="C827" s="30" t="n"/>
      <c r="D827" s="9">
        <f>IF($C827="","",YEAR($C827)&amp;"-"&amp;TEXT(MONTH($C827),"00"))</f>
        <v/>
      </c>
      <c r="E827" s="9" t="n"/>
      <c r="F827" s="9" t="n"/>
      <c r="G827" s="9" t="n"/>
      <c r="H827" s="24" t="n"/>
      <c r="I827" s="9" t="n"/>
      <c r="J827" s="24" t="n"/>
      <c r="K827" s="24" t="n"/>
      <c r="L827" s="24">
        <f>IF($H827="","",ROUND($H827*$J827-N($K827),2))</f>
        <v/>
      </c>
      <c r="M827" s="31" t="n"/>
      <c r="N827" s="24">
        <f>IF(OR($L827="",$M827=""),"",ROUND($L827-$L827/(1+$M827/100),2))</f>
        <v/>
      </c>
      <c r="O827" s="9" t="n"/>
      <c r="P827" s="9" t="n"/>
      <c r="Q827" s="9" t="n"/>
      <c r="R827" s="9" t="n"/>
      <c r="S827" s="9" t="n"/>
    </row>
    <row r="828">
      <c r="A828" s="9" t="n"/>
      <c r="B828" s="9" t="n"/>
      <c r="C828" s="30" t="n"/>
      <c r="D828" s="9">
        <f>IF($C828="","",YEAR($C828)&amp;"-"&amp;TEXT(MONTH($C828),"00"))</f>
        <v/>
      </c>
      <c r="E828" s="9" t="n"/>
      <c r="F828" s="9" t="n"/>
      <c r="G828" s="9" t="n"/>
      <c r="H828" s="24" t="n"/>
      <c r="I828" s="9" t="n"/>
      <c r="J828" s="24" t="n"/>
      <c r="K828" s="24" t="n"/>
      <c r="L828" s="24">
        <f>IF($H828="","",ROUND($H828*$J828-N($K828),2))</f>
        <v/>
      </c>
      <c r="M828" s="31" t="n"/>
      <c r="N828" s="24">
        <f>IF(OR($L828="",$M828=""),"",ROUND($L828-$L828/(1+$M828/100),2))</f>
        <v/>
      </c>
      <c r="O828" s="9" t="n"/>
      <c r="P828" s="9" t="n"/>
      <c r="Q828" s="9" t="n"/>
      <c r="R828" s="9" t="n"/>
      <c r="S828" s="9" t="n"/>
    </row>
    <row r="829">
      <c r="A829" s="9" t="n"/>
      <c r="B829" s="9" t="n"/>
      <c r="C829" s="30" t="n"/>
      <c r="D829" s="9">
        <f>IF($C829="","",YEAR($C829)&amp;"-"&amp;TEXT(MONTH($C829),"00"))</f>
        <v/>
      </c>
      <c r="E829" s="9" t="n"/>
      <c r="F829" s="9" t="n"/>
      <c r="G829" s="9" t="n"/>
      <c r="H829" s="24" t="n"/>
      <c r="I829" s="9" t="n"/>
      <c r="J829" s="24" t="n"/>
      <c r="K829" s="24" t="n"/>
      <c r="L829" s="24">
        <f>IF($H829="","",ROUND($H829*$J829-N($K829),2))</f>
        <v/>
      </c>
      <c r="M829" s="31" t="n"/>
      <c r="N829" s="24">
        <f>IF(OR($L829="",$M829=""),"",ROUND($L829-$L829/(1+$M829/100),2))</f>
        <v/>
      </c>
      <c r="O829" s="9" t="n"/>
      <c r="P829" s="9" t="n"/>
      <c r="Q829" s="9" t="n"/>
      <c r="R829" s="9" t="n"/>
      <c r="S829" s="9" t="n"/>
    </row>
    <row r="830">
      <c r="A830" s="9" t="n"/>
      <c r="B830" s="9" t="n"/>
      <c r="C830" s="30" t="n"/>
      <c r="D830" s="9">
        <f>IF($C830="","",YEAR($C830)&amp;"-"&amp;TEXT(MONTH($C830),"00"))</f>
        <v/>
      </c>
      <c r="E830" s="9" t="n"/>
      <c r="F830" s="9" t="n"/>
      <c r="G830" s="9" t="n"/>
      <c r="H830" s="24" t="n"/>
      <c r="I830" s="9" t="n"/>
      <c r="J830" s="24" t="n"/>
      <c r="K830" s="24" t="n"/>
      <c r="L830" s="24">
        <f>IF($H830="","",ROUND($H830*$J830-N($K830),2))</f>
        <v/>
      </c>
      <c r="M830" s="31" t="n"/>
      <c r="N830" s="24">
        <f>IF(OR($L830="",$M830=""),"",ROUND($L830-$L830/(1+$M830/100),2))</f>
        <v/>
      </c>
      <c r="O830" s="9" t="n"/>
      <c r="P830" s="9" t="n"/>
      <c r="Q830" s="9" t="n"/>
      <c r="R830" s="9" t="n"/>
      <c r="S830" s="9" t="n"/>
    </row>
    <row r="831">
      <c r="A831" s="9" t="n"/>
      <c r="B831" s="9" t="n"/>
      <c r="C831" s="30" t="n"/>
      <c r="D831" s="9">
        <f>IF($C831="","",YEAR($C831)&amp;"-"&amp;TEXT(MONTH($C831),"00"))</f>
        <v/>
      </c>
      <c r="E831" s="9" t="n"/>
      <c r="F831" s="9" t="n"/>
      <c r="G831" s="9" t="n"/>
      <c r="H831" s="24" t="n"/>
      <c r="I831" s="9" t="n"/>
      <c r="J831" s="24" t="n"/>
      <c r="K831" s="24" t="n"/>
      <c r="L831" s="24">
        <f>IF($H831="","",ROUND($H831*$J831-N($K831),2))</f>
        <v/>
      </c>
      <c r="M831" s="31" t="n"/>
      <c r="N831" s="24">
        <f>IF(OR($L831="",$M831=""),"",ROUND($L831-$L831/(1+$M831/100),2))</f>
        <v/>
      </c>
      <c r="O831" s="9" t="n"/>
      <c r="P831" s="9" t="n"/>
      <c r="Q831" s="9" t="n"/>
      <c r="R831" s="9" t="n"/>
      <c r="S831" s="9" t="n"/>
    </row>
    <row r="832">
      <c r="A832" s="9" t="n"/>
      <c r="B832" s="9" t="n"/>
      <c r="C832" s="30" t="n"/>
      <c r="D832" s="9">
        <f>IF($C832="","",YEAR($C832)&amp;"-"&amp;TEXT(MONTH($C832),"00"))</f>
        <v/>
      </c>
      <c r="E832" s="9" t="n"/>
      <c r="F832" s="9" t="n"/>
      <c r="G832" s="9" t="n"/>
      <c r="H832" s="24" t="n"/>
      <c r="I832" s="9" t="n"/>
      <c r="J832" s="24" t="n"/>
      <c r="K832" s="24" t="n"/>
      <c r="L832" s="24">
        <f>IF($H832="","",ROUND($H832*$J832-N($K832),2))</f>
        <v/>
      </c>
      <c r="M832" s="31" t="n"/>
      <c r="N832" s="24">
        <f>IF(OR($L832="",$M832=""),"",ROUND($L832-$L832/(1+$M832/100),2))</f>
        <v/>
      </c>
      <c r="O832" s="9" t="n"/>
      <c r="P832" s="9" t="n"/>
      <c r="Q832" s="9" t="n"/>
      <c r="R832" s="9" t="n"/>
      <c r="S832" s="9" t="n"/>
    </row>
    <row r="833">
      <c r="A833" s="9" t="n"/>
      <c r="B833" s="9" t="n"/>
      <c r="C833" s="30" t="n"/>
      <c r="D833" s="9">
        <f>IF($C833="","",YEAR($C833)&amp;"-"&amp;TEXT(MONTH($C833),"00"))</f>
        <v/>
      </c>
      <c r="E833" s="9" t="n"/>
      <c r="F833" s="9" t="n"/>
      <c r="G833" s="9" t="n"/>
      <c r="H833" s="24" t="n"/>
      <c r="I833" s="9" t="n"/>
      <c r="J833" s="24" t="n"/>
      <c r="K833" s="24" t="n"/>
      <c r="L833" s="24">
        <f>IF($H833="","",ROUND($H833*$J833-N($K833),2))</f>
        <v/>
      </c>
      <c r="M833" s="31" t="n"/>
      <c r="N833" s="24">
        <f>IF(OR($L833="",$M833=""),"",ROUND($L833-$L833/(1+$M833/100),2))</f>
        <v/>
      </c>
      <c r="O833" s="9" t="n"/>
      <c r="P833" s="9" t="n"/>
      <c r="Q833" s="9" t="n"/>
      <c r="R833" s="9" t="n"/>
      <c r="S833" s="9" t="n"/>
    </row>
    <row r="834">
      <c r="A834" s="9" t="n"/>
      <c r="B834" s="9" t="n"/>
      <c r="C834" s="30" t="n"/>
      <c r="D834" s="9">
        <f>IF($C834="","",YEAR($C834)&amp;"-"&amp;TEXT(MONTH($C834),"00"))</f>
        <v/>
      </c>
      <c r="E834" s="9" t="n"/>
      <c r="F834" s="9" t="n"/>
      <c r="G834" s="9" t="n"/>
      <c r="H834" s="24" t="n"/>
      <c r="I834" s="9" t="n"/>
      <c r="J834" s="24" t="n"/>
      <c r="K834" s="24" t="n"/>
      <c r="L834" s="24">
        <f>IF($H834="","",ROUND($H834*$J834-N($K834),2))</f>
        <v/>
      </c>
      <c r="M834" s="31" t="n"/>
      <c r="N834" s="24">
        <f>IF(OR($L834="",$M834=""),"",ROUND($L834-$L834/(1+$M834/100),2))</f>
        <v/>
      </c>
      <c r="O834" s="9" t="n"/>
      <c r="P834" s="9" t="n"/>
      <c r="Q834" s="9" t="n"/>
      <c r="R834" s="9" t="n"/>
      <c r="S834" s="9" t="n"/>
    </row>
    <row r="835">
      <c r="A835" s="9" t="n"/>
      <c r="B835" s="9" t="n"/>
      <c r="C835" s="30" t="n"/>
      <c r="D835" s="9">
        <f>IF($C835="","",YEAR($C835)&amp;"-"&amp;TEXT(MONTH($C835),"00"))</f>
        <v/>
      </c>
      <c r="E835" s="9" t="n"/>
      <c r="F835" s="9" t="n"/>
      <c r="G835" s="9" t="n"/>
      <c r="H835" s="24" t="n"/>
      <c r="I835" s="9" t="n"/>
      <c r="J835" s="24" t="n"/>
      <c r="K835" s="24" t="n"/>
      <c r="L835" s="24">
        <f>IF($H835="","",ROUND($H835*$J835-N($K835),2))</f>
        <v/>
      </c>
      <c r="M835" s="31" t="n"/>
      <c r="N835" s="24">
        <f>IF(OR($L835="",$M835=""),"",ROUND($L835-$L835/(1+$M835/100),2))</f>
        <v/>
      </c>
      <c r="O835" s="9" t="n"/>
      <c r="P835" s="9" t="n"/>
      <c r="Q835" s="9" t="n"/>
      <c r="R835" s="9" t="n"/>
      <c r="S835" s="9" t="n"/>
    </row>
    <row r="836">
      <c r="A836" s="9" t="n"/>
      <c r="B836" s="9" t="n"/>
      <c r="C836" s="30" t="n"/>
      <c r="D836" s="9">
        <f>IF($C836="","",YEAR($C836)&amp;"-"&amp;TEXT(MONTH($C836),"00"))</f>
        <v/>
      </c>
      <c r="E836" s="9" t="n"/>
      <c r="F836" s="9" t="n"/>
      <c r="G836" s="9" t="n"/>
      <c r="H836" s="24" t="n"/>
      <c r="I836" s="9" t="n"/>
      <c r="J836" s="24" t="n"/>
      <c r="K836" s="24" t="n"/>
      <c r="L836" s="24">
        <f>IF($H836="","",ROUND($H836*$J836-N($K836),2))</f>
        <v/>
      </c>
      <c r="M836" s="31" t="n"/>
      <c r="N836" s="24">
        <f>IF(OR($L836="",$M836=""),"",ROUND($L836-$L836/(1+$M836/100),2))</f>
        <v/>
      </c>
      <c r="O836" s="9" t="n"/>
      <c r="P836" s="9" t="n"/>
      <c r="Q836" s="9" t="n"/>
      <c r="R836" s="9" t="n"/>
      <c r="S836" s="9" t="n"/>
    </row>
    <row r="837">
      <c r="A837" s="9" t="n"/>
      <c r="B837" s="9" t="n"/>
      <c r="C837" s="30" t="n"/>
      <c r="D837" s="9">
        <f>IF($C837="","",YEAR($C837)&amp;"-"&amp;TEXT(MONTH($C837),"00"))</f>
        <v/>
      </c>
      <c r="E837" s="9" t="n"/>
      <c r="F837" s="9" t="n"/>
      <c r="G837" s="9" t="n"/>
      <c r="H837" s="24" t="n"/>
      <c r="I837" s="9" t="n"/>
      <c r="J837" s="24" t="n"/>
      <c r="K837" s="24" t="n"/>
      <c r="L837" s="24">
        <f>IF($H837="","",ROUND($H837*$J837-N($K837),2))</f>
        <v/>
      </c>
      <c r="M837" s="31" t="n"/>
      <c r="N837" s="24">
        <f>IF(OR($L837="",$M837=""),"",ROUND($L837-$L837/(1+$M837/100),2))</f>
        <v/>
      </c>
      <c r="O837" s="9" t="n"/>
      <c r="P837" s="9" t="n"/>
      <c r="Q837" s="9" t="n"/>
      <c r="R837" s="9" t="n"/>
      <c r="S837" s="9" t="n"/>
    </row>
    <row r="838">
      <c r="A838" s="9" t="n"/>
      <c r="B838" s="9" t="n"/>
      <c r="C838" s="30" t="n"/>
      <c r="D838" s="9">
        <f>IF($C838="","",YEAR($C838)&amp;"-"&amp;TEXT(MONTH($C838),"00"))</f>
        <v/>
      </c>
      <c r="E838" s="9" t="n"/>
      <c r="F838" s="9" t="n"/>
      <c r="G838" s="9" t="n"/>
      <c r="H838" s="24" t="n"/>
      <c r="I838" s="9" t="n"/>
      <c r="J838" s="24" t="n"/>
      <c r="K838" s="24" t="n"/>
      <c r="L838" s="24">
        <f>IF($H838="","",ROUND($H838*$J838-N($K838),2))</f>
        <v/>
      </c>
      <c r="M838" s="31" t="n"/>
      <c r="N838" s="24">
        <f>IF(OR($L838="",$M838=""),"",ROUND($L838-$L838/(1+$M838/100),2))</f>
        <v/>
      </c>
      <c r="O838" s="9" t="n"/>
      <c r="P838" s="9" t="n"/>
      <c r="Q838" s="9" t="n"/>
      <c r="R838" s="9" t="n"/>
      <c r="S838" s="9" t="n"/>
    </row>
    <row r="839">
      <c r="A839" s="9" t="n"/>
      <c r="B839" s="9" t="n"/>
      <c r="C839" s="30" t="n"/>
      <c r="D839" s="9">
        <f>IF($C839="","",YEAR($C839)&amp;"-"&amp;TEXT(MONTH($C839),"00"))</f>
        <v/>
      </c>
      <c r="E839" s="9" t="n"/>
      <c r="F839" s="9" t="n"/>
      <c r="G839" s="9" t="n"/>
      <c r="H839" s="24" t="n"/>
      <c r="I839" s="9" t="n"/>
      <c r="J839" s="24" t="n"/>
      <c r="K839" s="24" t="n"/>
      <c r="L839" s="24">
        <f>IF($H839="","",ROUND($H839*$J839-N($K839),2))</f>
        <v/>
      </c>
      <c r="M839" s="31" t="n"/>
      <c r="N839" s="24">
        <f>IF(OR($L839="",$M839=""),"",ROUND($L839-$L839/(1+$M839/100),2))</f>
        <v/>
      </c>
      <c r="O839" s="9" t="n"/>
      <c r="P839" s="9" t="n"/>
      <c r="Q839" s="9" t="n"/>
      <c r="R839" s="9" t="n"/>
      <c r="S839" s="9" t="n"/>
    </row>
    <row r="840">
      <c r="A840" s="9" t="n"/>
      <c r="B840" s="9" t="n"/>
      <c r="C840" s="30" t="n"/>
      <c r="D840" s="9">
        <f>IF($C840="","",YEAR($C840)&amp;"-"&amp;TEXT(MONTH($C840),"00"))</f>
        <v/>
      </c>
      <c r="E840" s="9" t="n"/>
      <c r="F840" s="9" t="n"/>
      <c r="G840" s="9" t="n"/>
      <c r="H840" s="24" t="n"/>
      <c r="I840" s="9" t="n"/>
      <c r="J840" s="24" t="n"/>
      <c r="K840" s="24" t="n"/>
      <c r="L840" s="24">
        <f>IF($H840="","",ROUND($H840*$J840-N($K840),2))</f>
        <v/>
      </c>
      <c r="M840" s="31" t="n"/>
      <c r="N840" s="24">
        <f>IF(OR($L840="",$M840=""),"",ROUND($L840-$L840/(1+$M840/100),2))</f>
        <v/>
      </c>
      <c r="O840" s="9" t="n"/>
      <c r="P840" s="9" t="n"/>
      <c r="Q840" s="9" t="n"/>
      <c r="R840" s="9" t="n"/>
      <c r="S840" s="9" t="n"/>
    </row>
    <row r="841">
      <c r="A841" s="9" t="n"/>
      <c r="B841" s="9" t="n"/>
      <c r="C841" s="30" t="n"/>
      <c r="D841" s="9">
        <f>IF($C841="","",YEAR($C841)&amp;"-"&amp;TEXT(MONTH($C841),"00"))</f>
        <v/>
      </c>
      <c r="E841" s="9" t="n"/>
      <c r="F841" s="9" t="n"/>
      <c r="G841" s="9" t="n"/>
      <c r="H841" s="24" t="n"/>
      <c r="I841" s="9" t="n"/>
      <c r="J841" s="24" t="n"/>
      <c r="K841" s="24" t="n"/>
      <c r="L841" s="24">
        <f>IF($H841="","",ROUND($H841*$J841-N($K841),2))</f>
        <v/>
      </c>
      <c r="M841" s="31" t="n"/>
      <c r="N841" s="24">
        <f>IF(OR($L841="",$M841=""),"",ROUND($L841-$L841/(1+$M841/100),2))</f>
        <v/>
      </c>
      <c r="O841" s="9" t="n"/>
      <c r="P841" s="9" t="n"/>
      <c r="Q841" s="9" t="n"/>
      <c r="R841" s="9" t="n"/>
      <c r="S841" s="9" t="n"/>
    </row>
    <row r="842">
      <c r="A842" s="9" t="n"/>
      <c r="B842" s="9" t="n"/>
      <c r="C842" s="30" t="n"/>
      <c r="D842" s="9">
        <f>IF($C842="","",YEAR($C842)&amp;"-"&amp;TEXT(MONTH($C842),"00"))</f>
        <v/>
      </c>
      <c r="E842" s="9" t="n"/>
      <c r="F842" s="9" t="n"/>
      <c r="G842" s="9" t="n"/>
      <c r="H842" s="24" t="n"/>
      <c r="I842" s="9" t="n"/>
      <c r="J842" s="24" t="n"/>
      <c r="K842" s="24" t="n"/>
      <c r="L842" s="24">
        <f>IF($H842="","",ROUND($H842*$J842-N($K842),2))</f>
        <v/>
      </c>
      <c r="M842" s="31" t="n"/>
      <c r="N842" s="24">
        <f>IF(OR($L842="",$M842=""),"",ROUND($L842-$L842/(1+$M842/100),2))</f>
        <v/>
      </c>
      <c r="O842" s="9" t="n"/>
      <c r="P842" s="9" t="n"/>
      <c r="Q842" s="9" t="n"/>
      <c r="R842" s="9" t="n"/>
      <c r="S842" s="9" t="n"/>
    </row>
    <row r="843">
      <c r="A843" s="9" t="n"/>
      <c r="B843" s="9" t="n"/>
      <c r="C843" s="30" t="n"/>
      <c r="D843" s="9">
        <f>IF($C843="","",YEAR($C843)&amp;"-"&amp;TEXT(MONTH($C843),"00"))</f>
        <v/>
      </c>
      <c r="E843" s="9" t="n"/>
      <c r="F843" s="9" t="n"/>
      <c r="G843" s="9" t="n"/>
      <c r="H843" s="24" t="n"/>
      <c r="I843" s="9" t="n"/>
      <c r="J843" s="24" t="n"/>
      <c r="K843" s="24" t="n"/>
      <c r="L843" s="24">
        <f>IF($H843="","",ROUND($H843*$J843-N($K843),2))</f>
        <v/>
      </c>
      <c r="M843" s="31" t="n"/>
      <c r="N843" s="24">
        <f>IF(OR($L843="",$M843=""),"",ROUND($L843-$L843/(1+$M843/100),2))</f>
        <v/>
      </c>
      <c r="O843" s="9" t="n"/>
      <c r="P843" s="9" t="n"/>
      <c r="Q843" s="9" t="n"/>
      <c r="R843" s="9" t="n"/>
      <c r="S843" s="9" t="n"/>
    </row>
    <row r="844">
      <c r="A844" s="9" t="n"/>
      <c r="B844" s="9" t="n"/>
      <c r="C844" s="30" t="n"/>
      <c r="D844" s="9">
        <f>IF($C844="","",YEAR($C844)&amp;"-"&amp;TEXT(MONTH($C844),"00"))</f>
        <v/>
      </c>
      <c r="E844" s="9" t="n"/>
      <c r="F844" s="9" t="n"/>
      <c r="G844" s="9" t="n"/>
      <c r="H844" s="24" t="n"/>
      <c r="I844" s="9" t="n"/>
      <c r="J844" s="24" t="n"/>
      <c r="K844" s="24" t="n"/>
      <c r="L844" s="24">
        <f>IF($H844="","",ROUND($H844*$J844-N($K844),2))</f>
        <v/>
      </c>
      <c r="M844" s="31" t="n"/>
      <c r="N844" s="24">
        <f>IF(OR($L844="",$M844=""),"",ROUND($L844-$L844/(1+$M844/100),2))</f>
        <v/>
      </c>
      <c r="O844" s="9" t="n"/>
      <c r="P844" s="9" t="n"/>
      <c r="Q844" s="9" t="n"/>
      <c r="R844" s="9" t="n"/>
      <c r="S844" s="9" t="n"/>
    </row>
    <row r="845">
      <c r="A845" s="9" t="n"/>
      <c r="B845" s="9" t="n"/>
      <c r="C845" s="30" t="n"/>
      <c r="D845" s="9">
        <f>IF($C845="","",YEAR($C845)&amp;"-"&amp;TEXT(MONTH($C845),"00"))</f>
        <v/>
      </c>
      <c r="E845" s="9" t="n"/>
      <c r="F845" s="9" t="n"/>
      <c r="G845" s="9" t="n"/>
      <c r="H845" s="24" t="n"/>
      <c r="I845" s="9" t="n"/>
      <c r="J845" s="24" t="n"/>
      <c r="K845" s="24" t="n"/>
      <c r="L845" s="24">
        <f>IF($H845="","",ROUND($H845*$J845-N($K845),2))</f>
        <v/>
      </c>
      <c r="M845" s="31" t="n"/>
      <c r="N845" s="24">
        <f>IF(OR($L845="",$M845=""),"",ROUND($L845-$L845/(1+$M845/100),2))</f>
        <v/>
      </c>
      <c r="O845" s="9" t="n"/>
      <c r="P845" s="9" t="n"/>
      <c r="Q845" s="9" t="n"/>
      <c r="R845" s="9" t="n"/>
      <c r="S845" s="9" t="n"/>
    </row>
    <row r="846">
      <c r="A846" s="9" t="n"/>
      <c r="B846" s="9" t="n"/>
      <c r="C846" s="30" t="n"/>
      <c r="D846" s="9">
        <f>IF($C846="","",YEAR($C846)&amp;"-"&amp;TEXT(MONTH($C846),"00"))</f>
        <v/>
      </c>
      <c r="E846" s="9" t="n"/>
      <c r="F846" s="9" t="n"/>
      <c r="G846" s="9" t="n"/>
      <c r="H846" s="24" t="n"/>
      <c r="I846" s="9" t="n"/>
      <c r="J846" s="24" t="n"/>
      <c r="K846" s="24" t="n"/>
      <c r="L846" s="24">
        <f>IF($H846="","",ROUND($H846*$J846-N($K846),2))</f>
        <v/>
      </c>
      <c r="M846" s="31" t="n"/>
      <c r="N846" s="24">
        <f>IF(OR($L846="",$M846=""),"",ROUND($L846-$L846/(1+$M846/100),2))</f>
        <v/>
      </c>
      <c r="O846" s="9" t="n"/>
      <c r="P846" s="9" t="n"/>
      <c r="Q846" s="9" t="n"/>
      <c r="R846" s="9" t="n"/>
      <c r="S846" s="9" t="n"/>
    </row>
    <row r="847">
      <c r="A847" s="9" t="n"/>
      <c r="B847" s="9" t="n"/>
      <c r="C847" s="30" t="n"/>
      <c r="D847" s="9">
        <f>IF($C847="","",YEAR($C847)&amp;"-"&amp;TEXT(MONTH($C847),"00"))</f>
        <v/>
      </c>
      <c r="E847" s="9" t="n"/>
      <c r="F847" s="9" t="n"/>
      <c r="G847" s="9" t="n"/>
      <c r="H847" s="24" t="n"/>
      <c r="I847" s="9" t="n"/>
      <c r="J847" s="24" t="n"/>
      <c r="K847" s="24" t="n"/>
      <c r="L847" s="24">
        <f>IF($H847="","",ROUND($H847*$J847-N($K847),2))</f>
        <v/>
      </c>
      <c r="M847" s="31" t="n"/>
      <c r="N847" s="24">
        <f>IF(OR($L847="",$M847=""),"",ROUND($L847-$L847/(1+$M847/100),2))</f>
        <v/>
      </c>
      <c r="O847" s="9" t="n"/>
      <c r="P847" s="9" t="n"/>
      <c r="Q847" s="9" t="n"/>
      <c r="R847" s="9" t="n"/>
      <c r="S847" s="9" t="n"/>
    </row>
    <row r="848">
      <c r="A848" s="9" t="n"/>
      <c r="B848" s="9" t="n"/>
      <c r="C848" s="30" t="n"/>
      <c r="D848" s="9">
        <f>IF($C848="","",YEAR($C848)&amp;"-"&amp;TEXT(MONTH($C848),"00"))</f>
        <v/>
      </c>
      <c r="E848" s="9" t="n"/>
      <c r="F848" s="9" t="n"/>
      <c r="G848" s="9" t="n"/>
      <c r="H848" s="24" t="n"/>
      <c r="I848" s="9" t="n"/>
      <c r="J848" s="24" t="n"/>
      <c r="K848" s="24" t="n"/>
      <c r="L848" s="24">
        <f>IF($H848="","",ROUND($H848*$J848-N($K848),2))</f>
        <v/>
      </c>
      <c r="M848" s="31" t="n"/>
      <c r="N848" s="24">
        <f>IF(OR($L848="",$M848=""),"",ROUND($L848-$L848/(1+$M848/100),2))</f>
        <v/>
      </c>
      <c r="O848" s="9" t="n"/>
      <c r="P848" s="9" t="n"/>
      <c r="Q848" s="9" t="n"/>
      <c r="R848" s="9" t="n"/>
      <c r="S848" s="9" t="n"/>
    </row>
    <row r="849">
      <c r="A849" s="9" t="n"/>
      <c r="B849" s="9" t="n"/>
      <c r="C849" s="30" t="n"/>
      <c r="D849" s="9">
        <f>IF($C849="","",YEAR($C849)&amp;"-"&amp;TEXT(MONTH($C849),"00"))</f>
        <v/>
      </c>
      <c r="E849" s="9" t="n"/>
      <c r="F849" s="9" t="n"/>
      <c r="G849" s="9" t="n"/>
      <c r="H849" s="24" t="n"/>
      <c r="I849" s="9" t="n"/>
      <c r="J849" s="24" t="n"/>
      <c r="K849" s="24" t="n"/>
      <c r="L849" s="24">
        <f>IF($H849="","",ROUND($H849*$J849-N($K849),2))</f>
        <v/>
      </c>
      <c r="M849" s="31" t="n"/>
      <c r="N849" s="24">
        <f>IF(OR($L849="",$M849=""),"",ROUND($L849-$L849/(1+$M849/100),2))</f>
        <v/>
      </c>
      <c r="O849" s="9" t="n"/>
      <c r="P849" s="9" t="n"/>
      <c r="Q849" s="9" t="n"/>
      <c r="R849" s="9" t="n"/>
      <c r="S849" s="9" t="n"/>
    </row>
    <row r="850">
      <c r="A850" s="9" t="n"/>
      <c r="B850" s="9" t="n"/>
      <c r="C850" s="30" t="n"/>
      <c r="D850" s="9">
        <f>IF($C850="","",YEAR($C850)&amp;"-"&amp;TEXT(MONTH($C850),"00"))</f>
        <v/>
      </c>
      <c r="E850" s="9" t="n"/>
      <c r="F850" s="9" t="n"/>
      <c r="G850" s="9" t="n"/>
      <c r="H850" s="24" t="n"/>
      <c r="I850" s="9" t="n"/>
      <c r="J850" s="24" t="n"/>
      <c r="K850" s="24" t="n"/>
      <c r="L850" s="24">
        <f>IF($H850="","",ROUND($H850*$J850-N($K850),2))</f>
        <v/>
      </c>
      <c r="M850" s="31" t="n"/>
      <c r="N850" s="24">
        <f>IF(OR($L850="",$M850=""),"",ROUND($L850-$L850/(1+$M850/100),2))</f>
        <v/>
      </c>
      <c r="O850" s="9" t="n"/>
      <c r="P850" s="9" t="n"/>
      <c r="Q850" s="9" t="n"/>
      <c r="R850" s="9" t="n"/>
      <c r="S850" s="9" t="n"/>
    </row>
    <row r="851">
      <c r="A851" s="9" t="n"/>
      <c r="B851" s="9" t="n"/>
      <c r="C851" s="30" t="n"/>
      <c r="D851" s="9">
        <f>IF($C851="","",YEAR($C851)&amp;"-"&amp;TEXT(MONTH($C851),"00"))</f>
        <v/>
      </c>
      <c r="E851" s="9" t="n"/>
      <c r="F851" s="9" t="n"/>
      <c r="G851" s="9" t="n"/>
      <c r="H851" s="24" t="n"/>
      <c r="I851" s="9" t="n"/>
      <c r="J851" s="24" t="n"/>
      <c r="K851" s="24" t="n"/>
      <c r="L851" s="24">
        <f>IF($H851="","",ROUND($H851*$J851-N($K851),2))</f>
        <v/>
      </c>
      <c r="M851" s="31" t="n"/>
      <c r="N851" s="24">
        <f>IF(OR($L851="",$M851=""),"",ROUND($L851-$L851/(1+$M851/100),2))</f>
        <v/>
      </c>
      <c r="O851" s="9" t="n"/>
      <c r="P851" s="9" t="n"/>
      <c r="Q851" s="9" t="n"/>
      <c r="R851" s="9" t="n"/>
      <c r="S851" s="9" t="n"/>
    </row>
    <row r="852">
      <c r="A852" s="9" t="n"/>
      <c r="B852" s="9" t="n"/>
      <c r="C852" s="30" t="n"/>
      <c r="D852" s="9">
        <f>IF($C852="","",YEAR($C852)&amp;"-"&amp;TEXT(MONTH($C852),"00"))</f>
        <v/>
      </c>
      <c r="E852" s="9" t="n"/>
      <c r="F852" s="9" t="n"/>
      <c r="G852" s="9" t="n"/>
      <c r="H852" s="24" t="n"/>
      <c r="I852" s="9" t="n"/>
      <c r="J852" s="24" t="n"/>
      <c r="K852" s="24" t="n"/>
      <c r="L852" s="24">
        <f>IF($H852="","",ROUND($H852*$J852-N($K852),2))</f>
        <v/>
      </c>
      <c r="M852" s="31" t="n"/>
      <c r="N852" s="24">
        <f>IF(OR($L852="",$M852=""),"",ROUND($L852-$L852/(1+$M852/100),2))</f>
        <v/>
      </c>
      <c r="O852" s="9" t="n"/>
      <c r="P852" s="9" t="n"/>
      <c r="Q852" s="9" t="n"/>
      <c r="R852" s="9" t="n"/>
      <c r="S852" s="9" t="n"/>
    </row>
    <row r="853">
      <c r="A853" s="9" t="n"/>
      <c r="B853" s="9" t="n"/>
      <c r="C853" s="30" t="n"/>
      <c r="D853" s="9">
        <f>IF($C853="","",YEAR($C853)&amp;"-"&amp;TEXT(MONTH($C853),"00"))</f>
        <v/>
      </c>
      <c r="E853" s="9" t="n"/>
      <c r="F853" s="9" t="n"/>
      <c r="G853" s="9" t="n"/>
      <c r="H853" s="24" t="n"/>
      <c r="I853" s="9" t="n"/>
      <c r="J853" s="24" t="n"/>
      <c r="K853" s="24" t="n"/>
      <c r="L853" s="24">
        <f>IF($H853="","",ROUND($H853*$J853-N($K853),2))</f>
        <v/>
      </c>
      <c r="M853" s="31" t="n"/>
      <c r="N853" s="24">
        <f>IF(OR($L853="",$M853=""),"",ROUND($L853-$L853/(1+$M853/100),2))</f>
        <v/>
      </c>
      <c r="O853" s="9" t="n"/>
      <c r="P853" s="9" t="n"/>
      <c r="Q853" s="9" t="n"/>
      <c r="R853" s="9" t="n"/>
      <c r="S853" s="9" t="n"/>
    </row>
    <row r="854">
      <c r="A854" s="9" t="n"/>
      <c r="B854" s="9" t="n"/>
      <c r="C854" s="30" t="n"/>
      <c r="D854" s="9">
        <f>IF($C854="","",YEAR($C854)&amp;"-"&amp;TEXT(MONTH($C854),"00"))</f>
        <v/>
      </c>
      <c r="E854" s="9" t="n"/>
      <c r="F854" s="9" t="n"/>
      <c r="G854" s="9" t="n"/>
      <c r="H854" s="24" t="n"/>
      <c r="I854" s="9" t="n"/>
      <c r="J854" s="24" t="n"/>
      <c r="K854" s="24" t="n"/>
      <c r="L854" s="24">
        <f>IF($H854="","",ROUND($H854*$J854-N($K854),2))</f>
        <v/>
      </c>
      <c r="M854" s="31" t="n"/>
      <c r="N854" s="24">
        <f>IF(OR($L854="",$M854=""),"",ROUND($L854-$L854/(1+$M854/100),2))</f>
        <v/>
      </c>
      <c r="O854" s="9" t="n"/>
      <c r="P854" s="9" t="n"/>
      <c r="Q854" s="9" t="n"/>
      <c r="R854" s="9" t="n"/>
      <c r="S854" s="9" t="n"/>
    </row>
    <row r="855">
      <c r="A855" s="9" t="n"/>
      <c r="B855" s="9" t="n"/>
      <c r="C855" s="30" t="n"/>
      <c r="D855" s="9">
        <f>IF($C855="","",YEAR($C855)&amp;"-"&amp;TEXT(MONTH($C855),"00"))</f>
        <v/>
      </c>
      <c r="E855" s="9" t="n"/>
      <c r="F855" s="9" t="n"/>
      <c r="G855" s="9" t="n"/>
      <c r="H855" s="24" t="n"/>
      <c r="I855" s="9" t="n"/>
      <c r="J855" s="24" t="n"/>
      <c r="K855" s="24" t="n"/>
      <c r="L855" s="24">
        <f>IF($H855="","",ROUND($H855*$J855-N($K855),2))</f>
        <v/>
      </c>
      <c r="M855" s="31" t="n"/>
      <c r="N855" s="24">
        <f>IF(OR($L855="",$M855=""),"",ROUND($L855-$L855/(1+$M855/100),2))</f>
        <v/>
      </c>
      <c r="O855" s="9" t="n"/>
      <c r="P855" s="9" t="n"/>
      <c r="Q855" s="9" t="n"/>
      <c r="R855" s="9" t="n"/>
      <c r="S855" s="9" t="n"/>
    </row>
    <row r="856">
      <c r="A856" s="9" t="n"/>
      <c r="B856" s="9" t="n"/>
      <c r="C856" s="30" t="n"/>
      <c r="D856" s="9">
        <f>IF($C856="","",YEAR($C856)&amp;"-"&amp;TEXT(MONTH($C856),"00"))</f>
        <v/>
      </c>
      <c r="E856" s="9" t="n"/>
      <c r="F856" s="9" t="n"/>
      <c r="G856" s="9" t="n"/>
      <c r="H856" s="24" t="n"/>
      <c r="I856" s="9" t="n"/>
      <c r="J856" s="24" t="n"/>
      <c r="K856" s="24" t="n"/>
      <c r="L856" s="24">
        <f>IF($H856="","",ROUND($H856*$J856-N($K856),2))</f>
        <v/>
      </c>
      <c r="M856" s="31" t="n"/>
      <c r="N856" s="24">
        <f>IF(OR($L856="",$M856=""),"",ROUND($L856-$L856/(1+$M856/100),2))</f>
        <v/>
      </c>
      <c r="O856" s="9" t="n"/>
      <c r="P856" s="9" t="n"/>
      <c r="Q856" s="9" t="n"/>
      <c r="R856" s="9" t="n"/>
      <c r="S856" s="9" t="n"/>
    </row>
    <row r="857">
      <c r="A857" s="9" t="n"/>
      <c r="B857" s="9" t="n"/>
      <c r="C857" s="30" t="n"/>
      <c r="D857" s="9">
        <f>IF($C857="","",YEAR($C857)&amp;"-"&amp;TEXT(MONTH($C857),"00"))</f>
        <v/>
      </c>
      <c r="E857" s="9" t="n"/>
      <c r="F857" s="9" t="n"/>
      <c r="G857" s="9" t="n"/>
      <c r="H857" s="24" t="n"/>
      <c r="I857" s="9" t="n"/>
      <c r="J857" s="24" t="n"/>
      <c r="K857" s="24" t="n"/>
      <c r="L857" s="24">
        <f>IF($H857="","",ROUND($H857*$J857-N($K857),2))</f>
        <v/>
      </c>
      <c r="M857" s="31" t="n"/>
      <c r="N857" s="24">
        <f>IF(OR($L857="",$M857=""),"",ROUND($L857-$L857/(1+$M857/100),2))</f>
        <v/>
      </c>
      <c r="O857" s="9" t="n"/>
      <c r="P857" s="9" t="n"/>
      <c r="Q857" s="9" t="n"/>
      <c r="R857" s="9" t="n"/>
      <c r="S857" s="9" t="n"/>
    </row>
    <row r="858">
      <c r="A858" s="9" t="n"/>
      <c r="B858" s="9" t="n"/>
      <c r="C858" s="30" t="n"/>
      <c r="D858" s="9">
        <f>IF($C858="","",YEAR($C858)&amp;"-"&amp;TEXT(MONTH($C858),"00"))</f>
        <v/>
      </c>
      <c r="E858" s="9" t="n"/>
      <c r="F858" s="9" t="n"/>
      <c r="G858" s="9" t="n"/>
      <c r="H858" s="24" t="n"/>
      <c r="I858" s="9" t="n"/>
      <c r="J858" s="24" t="n"/>
      <c r="K858" s="24" t="n"/>
      <c r="L858" s="24">
        <f>IF($H858="","",ROUND($H858*$J858-N($K858),2))</f>
        <v/>
      </c>
      <c r="M858" s="31" t="n"/>
      <c r="N858" s="24">
        <f>IF(OR($L858="",$M858=""),"",ROUND($L858-$L858/(1+$M858/100),2))</f>
        <v/>
      </c>
      <c r="O858" s="9" t="n"/>
      <c r="P858" s="9" t="n"/>
      <c r="Q858" s="9" t="n"/>
      <c r="R858" s="9" t="n"/>
      <c r="S858" s="9" t="n"/>
    </row>
    <row r="859">
      <c r="A859" s="9" t="n"/>
      <c r="B859" s="9" t="n"/>
      <c r="C859" s="30" t="n"/>
      <c r="D859" s="9">
        <f>IF($C859="","",YEAR($C859)&amp;"-"&amp;TEXT(MONTH($C859),"00"))</f>
        <v/>
      </c>
      <c r="E859" s="9" t="n"/>
      <c r="F859" s="9" t="n"/>
      <c r="G859" s="9" t="n"/>
      <c r="H859" s="24" t="n"/>
      <c r="I859" s="9" t="n"/>
      <c r="J859" s="24" t="n"/>
      <c r="K859" s="24" t="n"/>
      <c r="L859" s="24">
        <f>IF($H859="","",ROUND($H859*$J859-N($K859),2))</f>
        <v/>
      </c>
      <c r="M859" s="31" t="n"/>
      <c r="N859" s="24">
        <f>IF(OR($L859="",$M859=""),"",ROUND($L859-$L859/(1+$M859/100),2))</f>
        <v/>
      </c>
      <c r="O859" s="9" t="n"/>
      <c r="P859" s="9" t="n"/>
      <c r="Q859" s="9" t="n"/>
      <c r="R859" s="9" t="n"/>
      <c r="S859" s="9" t="n"/>
    </row>
    <row r="860">
      <c r="A860" s="9" t="n"/>
      <c r="B860" s="9" t="n"/>
      <c r="C860" s="30" t="n"/>
      <c r="D860" s="9">
        <f>IF($C860="","",YEAR($C860)&amp;"-"&amp;TEXT(MONTH($C860),"00"))</f>
        <v/>
      </c>
      <c r="E860" s="9" t="n"/>
      <c r="F860" s="9" t="n"/>
      <c r="G860" s="9" t="n"/>
      <c r="H860" s="24" t="n"/>
      <c r="I860" s="9" t="n"/>
      <c r="J860" s="24" t="n"/>
      <c r="K860" s="24" t="n"/>
      <c r="L860" s="24">
        <f>IF($H860="","",ROUND($H860*$J860-N($K860),2))</f>
        <v/>
      </c>
      <c r="M860" s="31" t="n"/>
      <c r="N860" s="24">
        <f>IF(OR($L860="",$M860=""),"",ROUND($L860-$L860/(1+$M860/100),2))</f>
        <v/>
      </c>
      <c r="O860" s="9" t="n"/>
      <c r="P860" s="9" t="n"/>
      <c r="Q860" s="9" t="n"/>
      <c r="R860" s="9" t="n"/>
      <c r="S860" s="9" t="n"/>
    </row>
    <row r="861">
      <c r="A861" s="9" t="n"/>
      <c r="B861" s="9" t="n"/>
      <c r="C861" s="30" t="n"/>
      <c r="D861" s="9">
        <f>IF($C861="","",YEAR($C861)&amp;"-"&amp;TEXT(MONTH($C861),"00"))</f>
        <v/>
      </c>
      <c r="E861" s="9" t="n"/>
      <c r="F861" s="9" t="n"/>
      <c r="G861" s="9" t="n"/>
      <c r="H861" s="24" t="n"/>
      <c r="I861" s="9" t="n"/>
      <c r="J861" s="24" t="n"/>
      <c r="K861" s="24" t="n"/>
      <c r="L861" s="24">
        <f>IF($H861="","",ROUND($H861*$J861-N($K861),2))</f>
        <v/>
      </c>
      <c r="M861" s="31" t="n"/>
      <c r="N861" s="24">
        <f>IF(OR($L861="",$M861=""),"",ROUND($L861-$L861/(1+$M861/100),2))</f>
        <v/>
      </c>
      <c r="O861" s="9" t="n"/>
      <c r="P861" s="9" t="n"/>
      <c r="Q861" s="9" t="n"/>
      <c r="R861" s="9" t="n"/>
      <c r="S861" s="9" t="n"/>
    </row>
    <row r="862">
      <c r="A862" s="9" t="n"/>
      <c r="B862" s="9" t="n"/>
      <c r="C862" s="30" t="n"/>
      <c r="D862" s="9">
        <f>IF($C862="","",YEAR($C862)&amp;"-"&amp;TEXT(MONTH($C862),"00"))</f>
        <v/>
      </c>
      <c r="E862" s="9" t="n"/>
      <c r="F862" s="9" t="n"/>
      <c r="G862" s="9" t="n"/>
      <c r="H862" s="24" t="n"/>
      <c r="I862" s="9" t="n"/>
      <c r="J862" s="24" t="n"/>
      <c r="K862" s="24" t="n"/>
      <c r="L862" s="24">
        <f>IF($H862="","",ROUND($H862*$J862-N($K862),2))</f>
        <v/>
      </c>
      <c r="M862" s="31" t="n"/>
      <c r="N862" s="24">
        <f>IF(OR($L862="",$M862=""),"",ROUND($L862-$L862/(1+$M862/100),2))</f>
        <v/>
      </c>
      <c r="O862" s="9" t="n"/>
      <c r="P862" s="9" t="n"/>
      <c r="Q862" s="9" t="n"/>
      <c r="R862" s="9" t="n"/>
      <c r="S862" s="9" t="n"/>
    </row>
    <row r="863">
      <c r="A863" s="9" t="n"/>
      <c r="B863" s="9" t="n"/>
      <c r="C863" s="30" t="n"/>
      <c r="D863" s="9">
        <f>IF($C863="","",YEAR($C863)&amp;"-"&amp;TEXT(MONTH($C863),"00"))</f>
        <v/>
      </c>
      <c r="E863" s="9" t="n"/>
      <c r="F863" s="9" t="n"/>
      <c r="G863" s="9" t="n"/>
      <c r="H863" s="24" t="n"/>
      <c r="I863" s="9" t="n"/>
      <c r="J863" s="24" t="n"/>
      <c r="K863" s="24" t="n"/>
      <c r="L863" s="24">
        <f>IF($H863="","",ROUND($H863*$J863-N($K863),2))</f>
        <v/>
      </c>
      <c r="M863" s="31" t="n"/>
      <c r="N863" s="24">
        <f>IF(OR($L863="",$M863=""),"",ROUND($L863-$L863/(1+$M863/100),2))</f>
        <v/>
      </c>
      <c r="O863" s="9" t="n"/>
      <c r="P863" s="9" t="n"/>
      <c r="Q863" s="9" t="n"/>
      <c r="R863" s="9" t="n"/>
      <c r="S863" s="9" t="n"/>
    </row>
    <row r="864">
      <c r="A864" s="9" t="n"/>
      <c r="B864" s="9" t="n"/>
      <c r="C864" s="30" t="n"/>
      <c r="D864" s="9">
        <f>IF($C864="","",YEAR($C864)&amp;"-"&amp;TEXT(MONTH($C864),"00"))</f>
        <v/>
      </c>
      <c r="E864" s="9" t="n"/>
      <c r="F864" s="9" t="n"/>
      <c r="G864" s="9" t="n"/>
      <c r="H864" s="24" t="n"/>
      <c r="I864" s="9" t="n"/>
      <c r="J864" s="24" t="n"/>
      <c r="K864" s="24" t="n"/>
      <c r="L864" s="24">
        <f>IF($H864="","",ROUND($H864*$J864-N($K864),2))</f>
        <v/>
      </c>
      <c r="M864" s="31" t="n"/>
      <c r="N864" s="24">
        <f>IF(OR($L864="",$M864=""),"",ROUND($L864-$L864/(1+$M864/100),2))</f>
        <v/>
      </c>
      <c r="O864" s="9" t="n"/>
      <c r="P864" s="9" t="n"/>
      <c r="Q864" s="9" t="n"/>
      <c r="R864" s="9" t="n"/>
      <c r="S864" s="9" t="n"/>
    </row>
    <row r="865">
      <c r="A865" s="9" t="n"/>
      <c r="B865" s="9" t="n"/>
      <c r="C865" s="30" t="n"/>
      <c r="D865" s="9">
        <f>IF($C865="","",YEAR($C865)&amp;"-"&amp;TEXT(MONTH($C865),"00"))</f>
        <v/>
      </c>
      <c r="E865" s="9" t="n"/>
      <c r="F865" s="9" t="n"/>
      <c r="G865" s="9" t="n"/>
      <c r="H865" s="24" t="n"/>
      <c r="I865" s="9" t="n"/>
      <c r="J865" s="24" t="n"/>
      <c r="K865" s="24" t="n"/>
      <c r="L865" s="24">
        <f>IF($H865="","",ROUND($H865*$J865-N($K865),2))</f>
        <v/>
      </c>
      <c r="M865" s="31" t="n"/>
      <c r="N865" s="24">
        <f>IF(OR($L865="",$M865=""),"",ROUND($L865-$L865/(1+$M865/100),2))</f>
        <v/>
      </c>
      <c r="O865" s="9" t="n"/>
      <c r="P865" s="9" t="n"/>
      <c r="Q865" s="9" t="n"/>
      <c r="R865" s="9" t="n"/>
      <c r="S865" s="9" t="n"/>
    </row>
    <row r="866">
      <c r="A866" s="9" t="n"/>
      <c r="B866" s="9" t="n"/>
      <c r="C866" s="30" t="n"/>
      <c r="D866" s="9">
        <f>IF($C866="","",YEAR($C866)&amp;"-"&amp;TEXT(MONTH($C866),"00"))</f>
        <v/>
      </c>
      <c r="E866" s="9" t="n"/>
      <c r="F866" s="9" t="n"/>
      <c r="G866" s="9" t="n"/>
      <c r="H866" s="24" t="n"/>
      <c r="I866" s="9" t="n"/>
      <c r="J866" s="24" t="n"/>
      <c r="K866" s="24" t="n"/>
      <c r="L866" s="24">
        <f>IF($H866="","",ROUND($H866*$J866-N($K866),2))</f>
        <v/>
      </c>
      <c r="M866" s="31" t="n"/>
      <c r="N866" s="24">
        <f>IF(OR($L866="",$M866=""),"",ROUND($L866-$L866/(1+$M866/100),2))</f>
        <v/>
      </c>
      <c r="O866" s="9" t="n"/>
      <c r="P866" s="9" t="n"/>
      <c r="Q866" s="9" t="n"/>
      <c r="R866" s="9" t="n"/>
      <c r="S866" s="9" t="n"/>
    </row>
    <row r="867">
      <c r="A867" s="9" t="n"/>
      <c r="B867" s="9" t="n"/>
      <c r="C867" s="30" t="n"/>
      <c r="D867" s="9">
        <f>IF($C867="","",YEAR($C867)&amp;"-"&amp;TEXT(MONTH($C867),"00"))</f>
        <v/>
      </c>
      <c r="E867" s="9" t="n"/>
      <c r="F867" s="9" t="n"/>
      <c r="G867" s="9" t="n"/>
      <c r="H867" s="24" t="n"/>
      <c r="I867" s="9" t="n"/>
      <c r="J867" s="24" t="n"/>
      <c r="K867" s="24" t="n"/>
      <c r="L867" s="24">
        <f>IF($H867="","",ROUND($H867*$J867-N($K867),2))</f>
        <v/>
      </c>
      <c r="M867" s="31" t="n"/>
      <c r="N867" s="24">
        <f>IF(OR($L867="",$M867=""),"",ROUND($L867-$L867/(1+$M867/100),2))</f>
        <v/>
      </c>
      <c r="O867" s="9" t="n"/>
      <c r="P867" s="9" t="n"/>
      <c r="Q867" s="9" t="n"/>
      <c r="R867" s="9" t="n"/>
      <c r="S867" s="9" t="n"/>
    </row>
    <row r="868">
      <c r="A868" s="9" t="n"/>
      <c r="B868" s="9" t="n"/>
      <c r="C868" s="30" t="n"/>
      <c r="D868" s="9">
        <f>IF($C868="","",YEAR($C868)&amp;"-"&amp;TEXT(MONTH($C868),"00"))</f>
        <v/>
      </c>
      <c r="E868" s="9" t="n"/>
      <c r="F868" s="9" t="n"/>
      <c r="G868" s="9" t="n"/>
      <c r="H868" s="24" t="n"/>
      <c r="I868" s="9" t="n"/>
      <c r="J868" s="24" t="n"/>
      <c r="K868" s="24" t="n"/>
      <c r="L868" s="24">
        <f>IF($H868="","",ROUND($H868*$J868-N($K868),2))</f>
        <v/>
      </c>
      <c r="M868" s="31" t="n"/>
      <c r="N868" s="24">
        <f>IF(OR($L868="",$M868=""),"",ROUND($L868-$L868/(1+$M868/100),2))</f>
        <v/>
      </c>
      <c r="O868" s="9" t="n"/>
      <c r="P868" s="9" t="n"/>
      <c r="Q868" s="9" t="n"/>
      <c r="R868" s="9" t="n"/>
      <c r="S868" s="9" t="n"/>
    </row>
    <row r="869">
      <c r="A869" s="9" t="n"/>
      <c r="B869" s="9" t="n"/>
      <c r="C869" s="30" t="n"/>
      <c r="D869" s="9">
        <f>IF($C869="","",YEAR($C869)&amp;"-"&amp;TEXT(MONTH($C869),"00"))</f>
        <v/>
      </c>
      <c r="E869" s="9" t="n"/>
      <c r="F869" s="9" t="n"/>
      <c r="G869" s="9" t="n"/>
      <c r="H869" s="24" t="n"/>
      <c r="I869" s="9" t="n"/>
      <c r="J869" s="24" t="n"/>
      <c r="K869" s="24" t="n"/>
      <c r="L869" s="24">
        <f>IF($H869="","",ROUND($H869*$J869-N($K869),2))</f>
        <v/>
      </c>
      <c r="M869" s="31" t="n"/>
      <c r="N869" s="24">
        <f>IF(OR($L869="",$M869=""),"",ROUND($L869-$L869/(1+$M869/100),2))</f>
        <v/>
      </c>
      <c r="O869" s="9" t="n"/>
      <c r="P869" s="9" t="n"/>
      <c r="Q869" s="9" t="n"/>
      <c r="R869" s="9" t="n"/>
      <c r="S869" s="9" t="n"/>
    </row>
    <row r="870">
      <c r="A870" s="9" t="n"/>
      <c r="B870" s="9" t="n"/>
      <c r="C870" s="30" t="n"/>
      <c r="D870" s="9">
        <f>IF($C870="","",YEAR($C870)&amp;"-"&amp;TEXT(MONTH($C870),"00"))</f>
        <v/>
      </c>
      <c r="E870" s="9" t="n"/>
      <c r="F870" s="9" t="n"/>
      <c r="G870" s="9" t="n"/>
      <c r="H870" s="24" t="n"/>
      <c r="I870" s="9" t="n"/>
      <c r="J870" s="24" t="n"/>
      <c r="K870" s="24" t="n"/>
      <c r="L870" s="24">
        <f>IF($H870="","",ROUND($H870*$J870-N($K870),2))</f>
        <v/>
      </c>
      <c r="M870" s="31" t="n"/>
      <c r="N870" s="24">
        <f>IF(OR($L870="",$M870=""),"",ROUND($L870-$L870/(1+$M870/100),2))</f>
        <v/>
      </c>
      <c r="O870" s="9" t="n"/>
      <c r="P870" s="9" t="n"/>
      <c r="Q870" s="9" t="n"/>
      <c r="R870" s="9" t="n"/>
      <c r="S870" s="9" t="n"/>
    </row>
    <row r="871">
      <c r="A871" s="9" t="n"/>
      <c r="B871" s="9" t="n"/>
      <c r="C871" s="30" t="n"/>
      <c r="D871" s="9">
        <f>IF($C871="","",YEAR($C871)&amp;"-"&amp;TEXT(MONTH($C871),"00"))</f>
        <v/>
      </c>
      <c r="E871" s="9" t="n"/>
      <c r="F871" s="9" t="n"/>
      <c r="G871" s="9" t="n"/>
      <c r="H871" s="24" t="n"/>
      <c r="I871" s="9" t="n"/>
      <c r="J871" s="24" t="n"/>
      <c r="K871" s="24" t="n"/>
      <c r="L871" s="24">
        <f>IF($H871="","",ROUND($H871*$J871-N($K871),2))</f>
        <v/>
      </c>
      <c r="M871" s="31" t="n"/>
      <c r="N871" s="24">
        <f>IF(OR($L871="",$M871=""),"",ROUND($L871-$L871/(1+$M871/100),2))</f>
        <v/>
      </c>
      <c r="O871" s="9" t="n"/>
      <c r="P871" s="9" t="n"/>
      <c r="Q871" s="9" t="n"/>
      <c r="R871" s="9" t="n"/>
      <c r="S871" s="9" t="n"/>
    </row>
    <row r="872">
      <c r="A872" s="9" t="n"/>
      <c r="B872" s="9" t="n"/>
      <c r="C872" s="30" t="n"/>
      <c r="D872" s="9">
        <f>IF($C872="","",YEAR($C872)&amp;"-"&amp;TEXT(MONTH($C872),"00"))</f>
        <v/>
      </c>
      <c r="E872" s="9" t="n"/>
      <c r="F872" s="9" t="n"/>
      <c r="G872" s="9" t="n"/>
      <c r="H872" s="24" t="n"/>
      <c r="I872" s="9" t="n"/>
      <c r="J872" s="24" t="n"/>
      <c r="K872" s="24" t="n"/>
      <c r="L872" s="24">
        <f>IF($H872="","",ROUND($H872*$J872-N($K872),2))</f>
        <v/>
      </c>
      <c r="M872" s="31" t="n"/>
      <c r="N872" s="24">
        <f>IF(OR($L872="",$M872=""),"",ROUND($L872-$L872/(1+$M872/100),2))</f>
        <v/>
      </c>
      <c r="O872" s="9" t="n"/>
      <c r="P872" s="9" t="n"/>
      <c r="Q872" s="9" t="n"/>
      <c r="R872" s="9" t="n"/>
      <c r="S872" s="9" t="n"/>
    </row>
    <row r="873">
      <c r="A873" s="9" t="n"/>
      <c r="B873" s="9" t="n"/>
      <c r="C873" s="30" t="n"/>
      <c r="D873" s="9">
        <f>IF($C873="","",YEAR($C873)&amp;"-"&amp;TEXT(MONTH($C873),"00"))</f>
        <v/>
      </c>
      <c r="E873" s="9" t="n"/>
      <c r="F873" s="9" t="n"/>
      <c r="G873" s="9" t="n"/>
      <c r="H873" s="24" t="n"/>
      <c r="I873" s="9" t="n"/>
      <c r="J873" s="24" t="n"/>
      <c r="K873" s="24" t="n"/>
      <c r="L873" s="24">
        <f>IF($H873="","",ROUND($H873*$J873-N($K873),2))</f>
        <v/>
      </c>
      <c r="M873" s="31" t="n"/>
      <c r="N873" s="24">
        <f>IF(OR($L873="",$M873=""),"",ROUND($L873-$L873/(1+$M873/100),2))</f>
        <v/>
      </c>
      <c r="O873" s="9" t="n"/>
      <c r="P873" s="9" t="n"/>
      <c r="Q873" s="9" t="n"/>
      <c r="R873" s="9" t="n"/>
      <c r="S873" s="9" t="n"/>
    </row>
    <row r="874">
      <c r="A874" s="9" t="n"/>
      <c r="B874" s="9" t="n"/>
      <c r="C874" s="30" t="n"/>
      <c r="D874" s="9">
        <f>IF($C874="","",YEAR($C874)&amp;"-"&amp;TEXT(MONTH($C874),"00"))</f>
        <v/>
      </c>
      <c r="E874" s="9" t="n"/>
      <c r="F874" s="9" t="n"/>
      <c r="G874" s="9" t="n"/>
      <c r="H874" s="24" t="n"/>
      <c r="I874" s="9" t="n"/>
      <c r="J874" s="24" t="n"/>
      <c r="K874" s="24" t="n"/>
      <c r="L874" s="24">
        <f>IF($H874="","",ROUND($H874*$J874-N($K874),2))</f>
        <v/>
      </c>
      <c r="M874" s="31" t="n"/>
      <c r="N874" s="24">
        <f>IF(OR($L874="",$M874=""),"",ROUND($L874-$L874/(1+$M874/100),2))</f>
        <v/>
      </c>
      <c r="O874" s="9" t="n"/>
      <c r="P874" s="9" t="n"/>
      <c r="Q874" s="9" t="n"/>
      <c r="R874" s="9" t="n"/>
      <c r="S874" s="9" t="n"/>
    </row>
    <row r="875">
      <c r="A875" s="9" t="n"/>
      <c r="B875" s="9" t="n"/>
      <c r="C875" s="30" t="n"/>
      <c r="D875" s="9">
        <f>IF($C875="","",YEAR($C875)&amp;"-"&amp;TEXT(MONTH($C875),"00"))</f>
        <v/>
      </c>
      <c r="E875" s="9" t="n"/>
      <c r="F875" s="9" t="n"/>
      <c r="G875" s="9" t="n"/>
      <c r="H875" s="24" t="n"/>
      <c r="I875" s="9" t="n"/>
      <c r="J875" s="24" t="n"/>
      <c r="K875" s="24" t="n"/>
      <c r="L875" s="24">
        <f>IF($H875="","",ROUND($H875*$J875-N($K875),2))</f>
        <v/>
      </c>
      <c r="M875" s="31" t="n"/>
      <c r="N875" s="24">
        <f>IF(OR($L875="",$M875=""),"",ROUND($L875-$L875/(1+$M875/100),2))</f>
        <v/>
      </c>
      <c r="O875" s="9" t="n"/>
      <c r="P875" s="9" t="n"/>
      <c r="Q875" s="9" t="n"/>
      <c r="R875" s="9" t="n"/>
      <c r="S875" s="9" t="n"/>
    </row>
    <row r="876">
      <c r="A876" s="9" t="n"/>
      <c r="B876" s="9" t="n"/>
      <c r="C876" s="30" t="n"/>
      <c r="D876" s="9">
        <f>IF($C876="","",YEAR($C876)&amp;"-"&amp;TEXT(MONTH($C876),"00"))</f>
        <v/>
      </c>
      <c r="E876" s="9" t="n"/>
      <c r="F876" s="9" t="n"/>
      <c r="G876" s="9" t="n"/>
      <c r="H876" s="24" t="n"/>
      <c r="I876" s="9" t="n"/>
      <c r="J876" s="24" t="n"/>
      <c r="K876" s="24" t="n"/>
      <c r="L876" s="24">
        <f>IF($H876="","",ROUND($H876*$J876-N($K876),2))</f>
        <v/>
      </c>
      <c r="M876" s="31" t="n"/>
      <c r="N876" s="24">
        <f>IF(OR($L876="",$M876=""),"",ROUND($L876-$L876/(1+$M876/100),2))</f>
        <v/>
      </c>
      <c r="O876" s="9" t="n"/>
      <c r="P876" s="9" t="n"/>
      <c r="Q876" s="9" t="n"/>
      <c r="R876" s="9" t="n"/>
      <c r="S876" s="9" t="n"/>
    </row>
    <row r="877">
      <c r="A877" s="9" t="n"/>
      <c r="B877" s="9" t="n"/>
      <c r="C877" s="30" t="n"/>
      <c r="D877" s="9">
        <f>IF($C877="","",YEAR($C877)&amp;"-"&amp;TEXT(MONTH($C877),"00"))</f>
        <v/>
      </c>
      <c r="E877" s="9" t="n"/>
      <c r="F877" s="9" t="n"/>
      <c r="G877" s="9" t="n"/>
      <c r="H877" s="24" t="n"/>
      <c r="I877" s="9" t="n"/>
      <c r="J877" s="24" t="n"/>
      <c r="K877" s="24" t="n"/>
      <c r="L877" s="24">
        <f>IF($H877="","",ROUND($H877*$J877-N($K877),2))</f>
        <v/>
      </c>
      <c r="M877" s="31" t="n"/>
      <c r="N877" s="24">
        <f>IF(OR($L877="",$M877=""),"",ROUND($L877-$L877/(1+$M877/100),2))</f>
        <v/>
      </c>
      <c r="O877" s="9" t="n"/>
      <c r="P877" s="9" t="n"/>
      <c r="Q877" s="9" t="n"/>
      <c r="R877" s="9" t="n"/>
      <c r="S877" s="9" t="n"/>
    </row>
    <row r="878">
      <c r="A878" s="9" t="n"/>
      <c r="B878" s="9" t="n"/>
      <c r="C878" s="30" t="n"/>
      <c r="D878" s="9">
        <f>IF($C878="","",YEAR($C878)&amp;"-"&amp;TEXT(MONTH($C878),"00"))</f>
        <v/>
      </c>
      <c r="E878" s="9" t="n"/>
      <c r="F878" s="9" t="n"/>
      <c r="G878" s="9" t="n"/>
      <c r="H878" s="24" t="n"/>
      <c r="I878" s="9" t="n"/>
      <c r="J878" s="24" t="n"/>
      <c r="K878" s="24" t="n"/>
      <c r="L878" s="24">
        <f>IF($H878="","",ROUND($H878*$J878-N($K878),2))</f>
        <v/>
      </c>
      <c r="M878" s="31" t="n"/>
      <c r="N878" s="24">
        <f>IF(OR($L878="",$M878=""),"",ROUND($L878-$L878/(1+$M878/100),2))</f>
        <v/>
      </c>
      <c r="O878" s="9" t="n"/>
      <c r="P878" s="9" t="n"/>
      <c r="Q878" s="9" t="n"/>
      <c r="R878" s="9" t="n"/>
      <c r="S878" s="9" t="n"/>
    </row>
    <row r="879">
      <c r="A879" s="9" t="n"/>
      <c r="B879" s="9" t="n"/>
      <c r="C879" s="30" t="n"/>
      <c r="D879" s="9">
        <f>IF($C879="","",YEAR($C879)&amp;"-"&amp;TEXT(MONTH($C879),"00"))</f>
        <v/>
      </c>
      <c r="E879" s="9" t="n"/>
      <c r="F879" s="9" t="n"/>
      <c r="G879" s="9" t="n"/>
      <c r="H879" s="24" t="n"/>
      <c r="I879" s="9" t="n"/>
      <c r="J879" s="24" t="n"/>
      <c r="K879" s="24" t="n"/>
      <c r="L879" s="24">
        <f>IF($H879="","",ROUND($H879*$J879-N($K879),2))</f>
        <v/>
      </c>
      <c r="M879" s="31" t="n"/>
      <c r="N879" s="24">
        <f>IF(OR($L879="",$M879=""),"",ROUND($L879-$L879/(1+$M879/100),2))</f>
        <v/>
      </c>
      <c r="O879" s="9" t="n"/>
      <c r="P879" s="9" t="n"/>
      <c r="Q879" s="9" t="n"/>
      <c r="R879" s="9" t="n"/>
      <c r="S879" s="9" t="n"/>
    </row>
    <row r="880">
      <c r="A880" s="9" t="n"/>
      <c r="B880" s="9" t="n"/>
      <c r="C880" s="30" t="n"/>
      <c r="D880" s="9">
        <f>IF($C880="","",YEAR($C880)&amp;"-"&amp;TEXT(MONTH($C880),"00"))</f>
        <v/>
      </c>
      <c r="E880" s="9" t="n"/>
      <c r="F880" s="9" t="n"/>
      <c r="G880" s="9" t="n"/>
      <c r="H880" s="24" t="n"/>
      <c r="I880" s="9" t="n"/>
      <c r="J880" s="24" t="n"/>
      <c r="K880" s="24" t="n"/>
      <c r="L880" s="24">
        <f>IF($H880="","",ROUND($H880*$J880-N($K880),2))</f>
        <v/>
      </c>
      <c r="M880" s="31" t="n"/>
      <c r="N880" s="24">
        <f>IF(OR($L880="",$M880=""),"",ROUND($L880-$L880/(1+$M880/100),2))</f>
        <v/>
      </c>
      <c r="O880" s="9" t="n"/>
      <c r="P880" s="9" t="n"/>
      <c r="Q880" s="9" t="n"/>
      <c r="R880" s="9" t="n"/>
      <c r="S880" s="9" t="n"/>
    </row>
    <row r="881">
      <c r="A881" s="9" t="n"/>
      <c r="B881" s="9" t="n"/>
      <c r="C881" s="30" t="n"/>
      <c r="D881" s="9">
        <f>IF($C881="","",YEAR($C881)&amp;"-"&amp;TEXT(MONTH($C881),"00"))</f>
        <v/>
      </c>
      <c r="E881" s="9" t="n"/>
      <c r="F881" s="9" t="n"/>
      <c r="G881" s="9" t="n"/>
      <c r="H881" s="24" t="n"/>
      <c r="I881" s="9" t="n"/>
      <c r="J881" s="24" t="n"/>
      <c r="K881" s="24" t="n"/>
      <c r="L881" s="24">
        <f>IF($H881="","",ROUND($H881*$J881-N($K881),2))</f>
        <v/>
      </c>
      <c r="M881" s="31" t="n"/>
      <c r="N881" s="24">
        <f>IF(OR($L881="",$M881=""),"",ROUND($L881-$L881/(1+$M881/100),2))</f>
        <v/>
      </c>
      <c r="O881" s="9" t="n"/>
      <c r="P881" s="9" t="n"/>
      <c r="Q881" s="9" t="n"/>
      <c r="R881" s="9" t="n"/>
      <c r="S881" s="9" t="n"/>
    </row>
    <row r="882">
      <c r="A882" s="9" t="n"/>
      <c r="B882" s="9" t="n"/>
      <c r="C882" s="30" t="n"/>
      <c r="D882" s="9">
        <f>IF($C882="","",YEAR($C882)&amp;"-"&amp;TEXT(MONTH($C882),"00"))</f>
        <v/>
      </c>
      <c r="E882" s="9" t="n"/>
      <c r="F882" s="9" t="n"/>
      <c r="G882" s="9" t="n"/>
      <c r="H882" s="24" t="n"/>
      <c r="I882" s="9" t="n"/>
      <c r="J882" s="24" t="n"/>
      <c r="K882" s="24" t="n"/>
      <c r="L882" s="24">
        <f>IF($H882="","",ROUND($H882*$J882-N($K882),2))</f>
        <v/>
      </c>
      <c r="M882" s="31" t="n"/>
      <c r="N882" s="24">
        <f>IF(OR($L882="",$M882=""),"",ROUND($L882-$L882/(1+$M882/100),2))</f>
        <v/>
      </c>
      <c r="O882" s="9" t="n"/>
      <c r="P882" s="9" t="n"/>
      <c r="Q882" s="9" t="n"/>
      <c r="R882" s="9" t="n"/>
      <c r="S882" s="9" t="n"/>
    </row>
    <row r="883">
      <c r="A883" s="9" t="n"/>
      <c r="B883" s="9" t="n"/>
      <c r="C883" s="30" t="n"/>
      <c r="D883" s="9">
        <f>IF($C883="","",YEAR($C883)&amp;"-"&amp;TEXT(MONTH($C883),"00"))</f>
        <v/>
      </c>
      <c r="E883" s="9" t="n"/>
      <c r="F883" s="9" t="n"/>
      <c r="G883" s="9" t="n"/>
      <c r="H883" s="24" t="n"/>
      <c r="I883" s="9" t="n"/>
      <c r="J883" s="24" t="n"/>
      <c r="K883" s="24" t="n"/>
      <c r="L883" s="24">
        <f>IF($H883="","",ROUND($H883*$J883-N($K883),2))</f>
        <v/>
      </c>
      <c r="M883" s="31" t="n"/>
      <c r="N883" s="24">
        <f>IF(OR($L883="",$M883=""),"",ROUND($L883-$L883/(1+$M883/100),2))</f>
        <v/>
      </c>
      <c r="O883" s="9" t="n"/>
      <c r="P883" s="9" t="n"/>
      <c r="Q883" s="9" t="n"/>
      <c r="R883" s="9" t="n"/>
      <c r="S883" s="9" t="n"/>
    </row>
    <row r="884">
      <c r="A884" s="9" t="n"/>
      <c r="B884" s="9" t="n"/>
      <c r="C884" s="30" t="n"/>
      <c r="D884" s="9">
        <f>IF($C884="","",YEAR($C884)&amp;"-"&amp;TEXT(MONTH($C884),"00"))</f>
        <v/>
      </c>
      <c r="E884" s="9" t="n"/>
      <c r="F884" s="9" t="n"/>
      <c r="G884" s="9" t="n"/>
      <c r="H884" s="24" t="n"/>
      <c r="I884" s="9" t="n"/>
      <c r="J884" s="24" t="n"/>
      <c r="K884" s="24" t="n"/>
      <c r="L884" s="24">
        <f>IF($H884="","",ROUND($H884*$J884-N($K884),2))</f>
        <v/>
      </c>
      <c r="M884" s="31" t="n"/>
      <c r="N884" s="24">
        <f>IF(OR($L884="",$M884=""),"",ROUND($L884-$L884/(1+$M884/100),2))</f>
        <v/>
      </c>
      <c r="O884" s="9" t="n"/>
      <c r="P884" s="9" t="n"/>
      <c r="Q884" s="9" t="n"/>
      <c r="R884" s="9" t="n"/>
      <c r="S884" s="9" t="n"/>
    </row>
    <row r="885">
      <c r="A885" s="9" t="n"/>
      <c r="B885" s="9" t="n"/>
      <c r="C885" s="30" t="n"/>
      <c r="D885" s="9">
        <f>IF($C885="","",YEAR($C885)&amp;"-"&amp;TEXT(MONTH($C885),"00"))</f>
        <v/>
      </c>
      <c r="E885" s="9" t="n"/>
      <c r="F885" s="9" t="n"/>
      <c r="G885" s="9" t="n"/>
      <c r="H885" s="24" t="n"/>
      <c r="I885" s="9" t="n"/>
      <c r="J885" s="24" t="n"/>
      <c r="K885" s="24" t="n"/>
      <c r="L885" s="24">
        <f>IF($H885="","",ROUND($H885*$J885-N($K885),2))</f>
        <v/>
      </c>
      <c r="M885" s="31" t="n"/>
      <c r="N885" s="24">
        <f>IF(OR($L885="",$M885=""),"",ROUND($L885-$L885/(1+$M885/100),2))</f>
        <v/>
      </c>
      <c r="O885" s="9" t="n"/>
      <c r="P885" s="9" t="n"/>
      <c r="Q885" s="9" t="n"/>
      <c r="R885" s="9" t="n"/>
      <c r="S885" s="9" t="n"/>
    </row>
    <row r="886">
      <c r="A886" s="9" t="n"/>
      <c r="B886" s="9" t="n"/>
      <c r="C886" s="30" t="n"/>
      <c r="D886" s="9">
        <f>IF($C886="","",YEAR($C886)&amp;"-"&amp;TEXT(MONTH($C886),"00"))</f>
        <v/>
      </c>
      <c r="E886" s="9" t="n"/>
      <c r="F886" s="9" t="n"/>
      <c r="G886" s="9" t="n"/>
      <c r="H886" s="24" t="n"/>
      <c r="I886" s="9" t="n"/>
      <c r="J886" s="24" t="n"/>
      <c r="K886" s="24" t="n"/>
      <c r="L886" s="24">
        <f>IF($H886="","",ROUND($H886*$J886-N($K886),2))</f>
        <v/>
      </c>
      <c r="M886" s="31" t="n"/>
      <c r="N886" s="24">
        <f>IF(OR($L886="",$M886=""),"",ROUND($L886-$L886/(1+$M886/100),2))</f>
        <v/>
      </c>
      <c r="O886" s="9" t="n"/>
      <c r="P886" s="9" t="n"/>
      <c r="Q886" s="9" t="n"/>
      <c r="R886" s="9" t="n"/>
      <c r="S886" s="9" t="n"/>
    </row>
    <row r="887">
      <c r="A887" s="9" t="n"/>
      <c r="B887" s="9" t="n"/>
      <c r="C887" s="30" t="n"/>
      <c r="D887" s="9">
        <f>IF($C887="","",YEAR($C887)&amp;"-"&amp;TEXT(MONTH($C887),"00"))</f>
        <v/>
      </c>
      <c r="E887" s="9" t="n"/>
      <c r="F887" s="9" t="n"/>
      <c r="G887" s="9" t="n"/>
      <c r="H887" s="24" t="n"/>
      <c r="I887" s="9" t="n"/>
      <c r="J887" s="24" t="n"/>
      <c r="K887" s="24" t="n"/>
      <c r="L887" s="24">
        <f>IF($H887="","",ROUND($H887*$J887-N($K887),2))</f>
        <v/>
      </c>
      <c r="M887" s="31" t="n"/>
      <c r="N887" s="24">
        <f>IF(OR($L887="",$M887=""),"",ROUND($L887-$L887/(1+$M887/100),2))</f>
        <v/>
      </c>
      <c r="O887" s="9" t="n"/>
      <c r="P887" s="9" t="n"/>
      <c r="Q887" s="9" t="n"/>
      <c r="R887" s="9" t="n"/>
      <c r="S887" s="9" t="n"/>
    </row>
    <row r="888">
      <c r="A888" s="9" t="n"/>
      <c r="B888" s="9" t="n"/>
      <c r="C888" s="30" t="n"/>
      <c r="D888" s="9">
        <f>IF($C888="","",YEAR($C888)&amp;"-"&amp;TEXT(MONTH($C888),"00"))</f>
        <v/>
      </c>
      <c r="E888" s="9" t="n"/>
      <c r="F888" s="9" t="n"/>
      <c r="G888" s="9" t="n"/>
      <c r="H888" s="24" t="n"/>
      <c r="I888" s="9" t="n"/>
      <c r="J888" s="24" t="n"/>
      <c r="K888" s="24" t="n"/>
      <c r="L888" s="24">
        <f>IF($H888="","",ROUND($H888*$J888-N($K888),2))</f>
        <v/>
      </c>
      <c r="M888" s="31" t="n"/>
      <c r="N888" s="24">
        <f>IF(OR($L888="",$M888=""),"",ROUND($L888-$L888/(1+$M888/100),2))</f>
        <v/>
      </c>
      <c r="O888" s="9" t="n"/>
      <c r="P888" s="9" t="n"/>
      <c r="Q888" s="9" t="n"/>
      <c r="R888" s="9" t="n"/>
      <c r="S888" s="9" t="n"/>
    </row>
    <row r="889">
      <c r="A889" s="9" t="n"/>
      <c r="B889" s="9" t="n"/>
      <c r="C889" s="30" t="n"/>
      <c r="D889" s="9">
        <f>IF($C889="","",YEAR($C889)&amp;"-"&amp;TEXT(MONTH($C889),"00"))</f>
        <v/>
      </c>
      <c r="E889" s="9" t="n"/>
      <c r="F889" s="9" t="n"/>
      <c r="G889" s="9" t="n"/>
      <c r="H889" s="24" t="n"/>
      <c r="I889" s="9" t="n"/>
      <c r="J889" s="24" t="n"/>
      <c r="K889" s="24" t="n"/>
      <c r="L889" s="24">
        <f>IF($H889="","",ROUND($H889*$J889-N($K889),2))</f>
        <v/>
      </c>
      <c r="M889" s="31" t="n"/>
      <c r="N889" s="24">
        <f>IF(OR($L889="",$M889=""),"",ROUND($L889-$L889/(1+$M889/100),2))</f>
        <v/>
      </c>
      <c r="O889" s="9" t="n"/>
      <c r="P889" s="9" t="n"/>
      <c r="Q889" s="9" t="n"/>
      <c r="R889" s="9" t="n"/>
      <c r="S889" s="9" t="n"/>
    </row>
    <row r="890">
      <c r="A890" s="9" t="n"/>
      <c r="B890" s="9" t="n"/>
      <c r="C890" s="30" t="n"/>
      <c r="D890" s="9">
        <f>IF($C890="","",YEAR($C890)&amp;"-"&amp;TEXT(MONTH($C890),"00"))</f>
        <v/>
      </c>
      <c r="E890" s="9" t="n"/>
      <c r="F890" s="9" t="n"/>
      <c r="G890" s="9" t="n"/>
      <c r="H890" s="24" t="n"/>
      <c r="I890" s="9" t="n"/>
      <c r="J890" s="24" t="n"/>
      <c r="K890" s="24" t="n"/>
      <c r="L890" s="24">
        <f>IF($H890="","",ROUND($H890*$J890-N($K890),2))</f>
        <v/>
      </c>
      <c r="M890" s="31" t="n"/>
      <c r="N890" s="24">
        <f>IF(OR($L890="",$M890=""),"",ROUND($L890-$L890/(1+$M890/100),2))</f>
        <v/>
      </c>
      <c r="O890" s="9" t="n"/>
      <c r="P890" s="9" t="n"/>
      <c r="Q890" s="9" t="n"/>
      <c r="R890" s="9" t="n"/>
      <c r="S890" s="9" t="n"/>
    </row>
    <row r="891">
      <c r="A891" s="9" t="n"/>
      <c r="B891" s="9" t="n"/>
      <c r="C891" s="30" t="n"/>
      <c r="D891" s="9">
        <f>IF($C891="","",YEAR($C891)&amp;"-"&amp;TEXT(MONTH($C891),"00"))</f>
        <v/>
      </c>
      <c r="E891" s="9" t="n"/>
      <c r="F891" s="9" t="n"/>
      <c r="G891" s="9" t="n"/>
      <c r="H891" s="24" t="n"/>
      <c r="I891" s="9" t="n"/>
      <c r="J891" s="24" t="n"/>
      <c r="K891" s="24" t="n"/>
      <c r="L891" s="24">
        <f>IF($H891="","",ROUND($H891*$J891-N($K891),2))</f>
        <v/>
      </c>
      <c r="M891" s="31" t="n"/>
      <c r="N891" s="24">
        <f>IF(OR($L891="",$M891=""),"",ROUND($L891-$L891/(1+$M891/100),2))</f>
        <v/>
      </c>
      <c r="O891" s="9" t="n"/>
      <c r="P891" s="9" t="n"/>
      <c r="Q891" s="9" t="n"/>
      <c r="R891" s="9" t="n"/>
      <c r="S891" s="9" t="n"/>
    </row>
    <row r="892">
      <c r="A892" s="9" t="n"/>
      <c r="B892" s="9" t="n"/>
      <c r="C892" s="30" t="n"/>
      <c r="D892" s="9">
        <f>IF($C892="","",YEAR($C892)&amp;"-"&amp;TEXT(MONTH($C892),"00"))</f>
        <v/>
      </c>
      <c r="E892" s="9" t="n"/>
      <c r="F892" s="9" t="n"/>
      <c r="G892" s="9" t="n"/>
      <c r="H892" s="24" t="n"/>
      <c r="I892" s="9" t="n"/>
      <c r="J892" s="24" t="n"/>
      <c r="K892" s="24" t="n"/>
      <c r="L892" s="24">
        <f>IF($H892="","",ROUND($H892*$J892-N($K892),2))</f>
        <v/>
      </c>
      <c r="M892" s="31" t="n"/>
      <c r="N892" s="24">
        <f>IF(OR($L892="",$M892=""),"",ROUND($L892-$L892/(1+$M892/100),2))</f>
        <v/>
      </c>
      <c r="O892" s="9" t="n"/>
      <c r="P892" s="9" t="n"/>
      <c r="Q892" s="9" t="n"/>
      <c r="R892" s="9" t="n"/>
      <c r="S892" s="9" t="n"/>
    </row>
    <row r="893">
      <c r="A893" s="9" t="n"/>
      <c r="B893" s="9" t="n"/>
      <c r="C893" s="30" t="n"/>
      <c r="D893" s="9">
        <f>IF($C893="","",YEAR($C893)&amp;"-"&amp;TEXT(MONTH($C893),"00"))</f>
        <v/>
      </c>
      <c r="E893" s="9" t="n"/>
      <c r="F893" s="9" t="n"/>
      <c r="G893" s="9" t="n"/>
      <c r="H893" s="24" t="n"/>
      <c r="I893" s="9" t="n"/>
      <c r="J893" s="24" t="n"/>
      <c r="K893" s="24" t="n"/>
      <c r="L893" s="24">
        <f>IF($H893="","",ROUND($H893*$J893-N($K893),2))</f>
        <v/>
      </c>
      <c r="M893" s="31" t="n"/>
      <c r="N893" s="24">
        <f>IF(OR($L893="",$M893=""),"",ROUND($L893-$L893/(1+$M893/100),2))</f>
        <v/>
      </c>
      <c r="O893" s="9" t="n"/>
      <c r="P893" s="9" t="n"/>
      <c r="Q893" s="9" t="n"/>
      <c r="R893" s="9" t="n"/>
      <c r="S893" s="9" t="n"/>
    </row>
    <row r="894">
      <c r="A894" s="9" t="n"/>
      <c r="B894" s="9" t="n"/>
      <c r="C894" s="30" t="n"/>
      <c r="D894" s="9">
        <f>IF($C894="","",YEAR($C894)&amp;"-"&amp;TEXT(MONTH($C894),"00"))</f>
        <v/>
      </c>
      <c r="E894" s="9" t="n"/>
      <c r="F894" s="9" t="n"/>
      <c r="G894" s="9" t="n"/>
      <c r="H894" s="24" t="n"/>
      <c r="I894" s="9" t="n"/>
      <c r="J894" s="24" t="n"/>
      <c r="K894" s="24" t="n"/>
      <c r="L894" s="24">
        <f>IF($H894="","",ROUND($H894*$J894-N($K894),2))</f>
        <v/>
      </c>
      <c r="M894" s="31" t="n"/>
      <c r="N894" s="24">
        <f>IF(OR($L894="",$M894=""),"",ROUND($L894-$L894/(1+$M894/100),2))</f>
        <v/>
      </c>
      <c r="O894" s="9" t="n"/>
      <c r="P894" s="9" t="n"/>
      <c r="Q894" s="9" t="n"/>
      <c r="R894" s="9" t="n"/>
      <c r="S894" s="9" t="n"/>
    </row>
    <row r="895">
      <c r="A895" s="9" t="n"/>
      <c r="B895" s="9" t="n"/>
      <c r="C895" s="30" t="n"/>
      <c r="D895" s="9">
        <f>IF($C895="","",YEAR($C895)&amp;"-"&amp;TEXT(MONTH($C895),"00"))</f>
        <v/>
      </c>
      <c r="E895" s="9" t="n"/>
      <c r="F895" s="9" t="n"/>
      <c r="G895" s="9" t="n"/>
      <c r="H895" s="24" t="n"/>
      <c r="I895" s="9" t="n"/>
      <c r="J895" s="24" t="n"/>
      <c r="K895" s="24" t="n"/>
      <c r="L895" s="24">
        <f>IF($H895="","",ROUND($H895*$J895-N($K895),2))</f>
        <v/>
      </c>
      <c r="M895" s="31" t="n"/>
      <c r="N895" s="24">
        <f>IF(OR($L895="",$M895=""),"",ROUND($L895-$L895/(1+$M895/100),2))</f>
        <v/>
      </c>
      <c r="O895" s="9" t="n"/>
      <c r="P895" s="9" t="n"/>
      <c r="Q895" s="9" t="n"/>
      <c r="R895" s="9" t="n"/>
      <c r="S895" s="9" t="n"/>
    </row>
    <row r="896">
      <c r="A896" s="9" t="n"/>
      <c r="B896" s="9" t="n"/>
      <c r="C896" s="30" t="n"/>
      <c r="D896" s="9">
        <f>IF($C896="","",YEAR($C896)&amp;"-"&amp;TEXT(MONTH($C896),"00"))</f>
        <v/>
      </c>
      <c r="E896" s="9" t="n"/>
      <c r="F896" s="9" t="n"/>
      <c r="G896" s="9" t="n"/>
      <c r="H896" s="24" t="n"/>
      <c r="I896" s="9" t="n"/>
      <c r="J896" s="24" t="n"/>
      <c r="K896" s="24" t="n"/>
      <c r="L896" s="24">
        <f>IF($H896="","",ROUND($H896*$J896-N($K896),2))</f>
        <v/>
      </c>
      <c r="M896" s="31" t="n"/>
      <c r="N896" s="24">
        <f>IF(OR($L896="",$M896=""),"",ROUND($L896-$L896/(1+$M896/100),2))</f>
        <v/>
      </c>
      <c r="O896" s="9" t="n"/>
      <c r="P896" s="9" t="n"/>
      <c r="Q896" s="9" t="n"/>
      <c r="R896" s="9" t="n"/>
      <c r="S896" s="9" t="n"/>
    </row>
    <row r="897">
      <c r="A897" s="9" t="n"/>
      <c r="B897" s="9" t="n"/>
      <c r="C897" s="30" t="n"/>
      <c r="D897" s="9">
        <f>IF($C897="","",YEAR($C897)&amp;"-"&amp;TEXT(MONTH($C897),"00"))</f>
        <v/>
      </c>
      <c r="E897" s="9" t="n"/>
      <c r="F897" s="9" t="n"/>
      <c r="G897" s="9" t="n"/>
      <c r="H897" s="24" t="n"/>
      <c r="I897" s="9" t="n"/>
      <c r="J897" s="24" t="n"/>
      <c r="K897" s="24" t="n"/>
      <c r="L897" s="24">
        <f>IF($H897="","",ROUND($H897*$J897-N($K897),2))</f>
        <v/>
      </c>
      <c r="M897" s="31" t="n"/>
      <c r="N897" s="24">
        <f>IF(OR($L897="",$M897=""),"",ROUND($L897-$L897/(1+$M897/100),2))</f>
        <v/>
      </c>
      <c r="O897" s="9" t="n"/>
      <c r="P897" s="9" t="n"/>
      <c r="Q897" s="9" t="n"/>
      <c r="R897" s="9" t="n"/>
      <c r="S897" s="9" t="n"/>
    </row>
    <row r="898">
      <c r="A898" s="9" t="n"/>
      <c r="B898" s="9" t="n"/>
      <c r="C898" s="30" t="n"/>
      <c r="D898" s="9">
        <f>IF($C898="","",YEAR($C898)&amp;"-"&amp;TEXT(MONTH($C898),"00"))</f>
        <v/>
      </c>
      <c r="E898" s="9" t="n"/>
      <c r="F898" s="9" t="n"/>
      <c r="G898" s="9" t="n"/>
      <c r="H898" s="24" t="n"/>
      <c r="I898" s="9" t="n"/>
      <c r="J898" s="24" t="n"/>
      <c r="K898" s="24" t="n"/>
      <c r="L898" s="24">
        <f>IF($H898="","",ROUND($H898*$J898-N($K898),2))</f>
        <v/>
      </c>
      <c r="M898" s="31" t="n"/>
      <c r="N898" s="24">
        <f>IF(OR($L898="",$M898=""),"",ROUND($L898-$L898/(1+$M898/100),2))</f>
        <v/>
      </c>
      <c r="O898" s="9" t="n"/>
      <c r="P898" s="9" t="n"/>
      <c r="Q898" s="9" t="n"/>
      <c r="R898" s="9" t="n"/>
      <c r="S898" s="9" t="n"/>
    </row>
    <row r="899">
      <c r="A899" s="9" t="n"/>
      <c r="B899" s="9" t="n"/>
      <c r="C899" s="30" t="n"/>
      <c r="D899" s="9">
        <f>IF($C899="","",YEAR($C899)&amp;"-"&amp;TEXT(MONTH($C899),"00"))</f>
        <v/>
      </c>
      <c r="E899" s="9" t="n"/>
      <c r="F899" s="9" t="n"/>
      <c r="G899" s="9" t="n"/>
      <c r="H899" s="24" t="n"/>
      <c r="I899" s="9" t="n"/>
      <c r="J899" s="24" t="n"/>
      <c r="K899" s="24" t="n"/>
      <c r="L899" s="24">
        <f>IF($H899="","",ROUND($H899*$J899-N($K899),2))</f>
        <v/>
      </c>
      <c r="M899" s="31" t="n"/>
      <c r="N899" s="24">
        <f>IF(OR($L899="",$M899=""),"",ROUND($L899-$L899/(1+$M899/100),2))</f>
        <v/>
      </c>
      <c r="O899" s="9" t="n"/>
      <c r="P899" s="9" t="n"/>
      <c r="Q899" s="9" t="n"/>
      <c r="R899" s="9" t="n"/>
      <c r="S899" s="9" t="n"/>
    </row>
    <row r="900">
      <c r="A900" s="9" t="n"/>
      <c r="B900" s="9" t="n"/>
      <c r="C900" s="30" t="n"/>
      <c r="D900" s="9">
        <f>IF($C900="","",YEAR($C900)&amp;"-"&amp;TEXT(MONTH($C900),"00"))</f>
        <v/>
      </c>
      <c r="E900" s="9" t="n"/>
      <c r="F900" s="9" t="n"/>
      <c r="G900" s="9" t="n"/>
      <c r="H900" s="24" t="n"/>
      <c r="I900" s="9" t="n"/>
      <c r="J900" s="24" t="n"/>
      <c r="K900" s="24" t="n"/>
      <c r="L900" s="24">
        <f>IF($H900="","",ROUND($H900*$J900-N($K900),2))</f>
        <v/>
      </c>
      <c r="M900" s="31" t="n"/>
      <c r="N900" s="24">
        <f>IF(OR($L900="",$M900=""),"",ROUND($L900-$L900/(1+$M900/100),2))</f>
        <v/>
      </c>
      <c r="O900" s="9" t="n"/>
      <c r="P900" s="9" t="n"/>
      <c r="Q900" s="9" t="n"/>
      <c r="R900" s="9" t="n"/>
      <c r="S900" s="9" t="n"/>
    </row>
    <row r="901">
      <c r="A901" s="9" t="n"/>
      <c r="B901" s="9" t="n"/>
      <c r="C901" s="30" t="n"/>
      <c r="D901" s="9">
        <f>IF($C901="","",YEAR($C901)&amp;"-"&amp;TEXT(MONTH($C901),"00"))</f>
        <v/>
      </c>
      <c r="E901" s="9" t="n"/>
      <c r="F901" s="9" t="n"/>
      <c r="G901" s="9" t="n"/>
      <c r="H901" s="24" t="n"/>
      <c r="I901" s="9" t="n"/>
      <c r="J901" s="24" t="n"/>
      <c r="K901" s="24" t="n"/>
      <c r="L901" s="24">
        <f>IF($H901="","",ROUND($H901*$J901-N($K901),2))</f>
        <v/>
      </c>
      <c r="M901" s="31" t="n"/>
      <c r="N901" s="24">
        <f>IF(OR($L901="",$M901=""),"",ROUND($L901-$L901/(1+$M901/100),2))</f>
        <v/>
      </c>
      <c r="O901" s="9" t="n"/>
      <c r="P901" s="9" t="n"/>
      <c r="Q901" s="9" t="n"/>
      <c r="R901" s="9" t="n"/>
      <c r="S901" s="9" t="n"/>
    </row>
    <row r="902">
      <c r="A902" s="9" t="n"/>
      <c r="B902" s="9" t="n"/>
      <c r="C902" s="30" t="n"/>
      <c r="D902" s="9">
        <f>IF($C902="","",YEAR($C902)&amp;"-"&amp;TEXT(MONTH($C902),"00"))</f>
        <v/>
      </c>
      <c r="E902" s="9" t="n"/>
      <c r="F902" s="9" t="n"/>
      <c r="G902" s="9" t="n"/>
      <c r="H902" s="24" t="n"/>
      <c r="I902" s="9" t="n"/>
      <c r="J902" s="24" t="n"/>
      <c r="K902" s="24" t="n"/>
      <c r="L902" s="24">
        <f>IF($H902="","",ROUND($H902*$J902-N($K902),2))</f>
        <v/>
      </c>
      <c r="M902" s="31" t="n"/>
      <c r="N902" s="24">
        <f>IF(OR($L902="",$M902=""),"",ROUND($L902-$L902/(1+$M902/100),2))</f>
        <v/>
      </c>
      <c r="O902" s="9" t="n"/>
      <c r="P902" s="9" t="n"/>
      <c r="Q902" s="9" t="n"/>
      <c r="R902" s="9" t="n"/>
      <c r="S902" s="9" t="n"/>
    </row>
    <row r="903">
      <c r="A903" s="9" t="n"/>
      <c r="B903" s="9" t="n"/>
      <c r="C903" s="30" t="n"/>
      <c r="D903" s="9">
        <f>IF($C903="","",YEAR($C903)&amp;"-"&amp;TEXT(MONTH($C903),"00"))</f>
        <v/>
      </c>
      <c r="E903" s="9" t="n"/>
      <c r="F903" s="9" t="n"/>
      <c r="G903" s="9" t="n"/>
      <c r="H903" s="24" t="n"/>
      <c r="I903" s="9" t="n"/>
      <c r="J903" s="24" t="n"/>
      <c r="K903" s="24" t="n"/>
      <c r="L903" s="24">
        <f>IF($H903="","",ROUND($H903*$J903-N($K903),2))</f>
        <v/>
      </c>
      <c r="M903" s="31" t="n"/>
      <c r="N903" s="24">
        <f>IF(OR($L903="",$M903=""),"",ROUND($L903-$L903/(1+$M903/100),2))</f>
        <v/>
      </c>
      <c r="O903" s="9" t="n"/>
      <c r="P903" s="9" t="n"/>
      <c r="Q903" s="9" t="n"/>
      <c r="R903" s="9" t="n"/>
      <c r="S903" s="9" t="n"/>
    </row>
    <row r="904">
      <c r="A904" s="9" t="n"/>
      <c r="B904" s="9" t="n"/>
      <c r="C904" s="30" t="n"/>
      <c r="D904" s="9">
        <f>IF($C904="","",YEAR($C904)&amp;"-"&amp;TEXT(MONTH($C904),"00"))</f>
        <v/>
      </c>
      <c r="E904" s="9" t="n"/>
      <c r="F904" s="9" t="n"/>
      <c r="G904" s="9" t="n"/>
      <c r="H904" s="24" t="n"/>
      <c r="I904" s="9" t="n"/>
      <c r="J904" s="24" t="n"/>
      <c r="K904" s="24" t="n"/>
      <c r="L904" s="24">
        <f>IF($H904="","",ROUND($H904*$J904-N($K904),2))</f>
        <v/>
      </c>
      <c r="M904" s="31" t="n"/>
      <c r="N904" s="24">
        <f>IF(OR($L904="",$M904=""),"",ROUND($L904-$L904/(1+$M904/100),2))</f>
        <v/>
      </c>
      <c r="O904" s="9" t="n"/>
      <c r="P904" s="9" t="n"/>
      <c r="Q904" s="9" t="n"/>
      <c r="R904" s="9" t="n"/>
      <c r="S904" s="9" t="n"/>
    </row>
    <row r="905">
      <c r="A905" s="9" t="n"/>
      <c r="B905" s="9" t="n"/>
      <c r="C905" s="30" t="n"/>
      <c r="D905" s="9">
        <f>IF($C905="","",YEAR($C905)&amp;"-"&amp;TEXT(MONTH($C905),"00"))</f>
        <v/>
      </c>
      <c r="E905" s="9" t="n"/>
      <c r="F905" s="9" t="n"/>
      <c r="G905" s="9" t="n"/>
      <c r="H905" s="24" t="n"/>
      <c r="I905" s="9" t="n"/>
      <c r="J905" s="24" t="n"/>
      <c r="K905" s="24" t="n"/>
      <c r="L905" s="24">
        <f>IF($H905="","",ROUND($H905*$J905-N($K905),2))</f>
        <v/>
      </c>
      <c r="M905" s="31" t="n"/>
      <c r="N905" s="24">
        <f>IF(OR($L905="",$M905=""),"",ROUND($L905-$L905/(1+$M905/100),2))</f>
        <v/>
      </c>
      <c r="O905" s="9" t="n"/>
      <c r="P905" s="9" t="n"/>
      <c r="Q905" s="9" t="n"/>
      <c r="R905" s="9" t="n"/>
      <c r="S905" s="9" t="n"/>
    </row>
    <row r="906">
      <c r="A906" s="9" t="n"/>
      <c r="B906" s="9" t="n"/>
      <c r="C906" s="30" t="n"/>
      <c r="D906" s="9">
        <f>IF($C906="","",YEAR($C906)&amp;"-"&amp;TEXT(MONTH($C906),"00"))</f>
        <v/>
      </c>
      <c r="E906" s="9" t="n"/>
      <c r="F906" s="9" t="n"/>
      <c r="G906" s="9" t="n"/>
      <c r="H906" s="24" t="n"/>
      <c r="I906" s="9" t="n"/>
      <c r="J906" s="24" t="n"/>
      <c r="K906" s="24" t="n"/>
      <c r="L906" s="24">
        <f>IF($H906="","",ROUND($H906*$J906-N($K906),2))</f>
        <v/>
      </c>
      <c r="M906" s="31" t="n"/>
      <c r="N906" s="24">
        <f>IF(OR($L906="",$M906=""),"",ROUND($L906-$L906/(1+$M906/100),2))</f>
        <v/>
      </c>
      <c r="O906" s="9" t="n"/>
      <c r="P906" s="9" t="n"/>
      <c r="Q906" s="9" t="n"/>
      <c r="R906" s="9" t="n"/>
      <c r="S906" s="9" t="n"/>
    </row>
    <row r="907">
      <c r="A907" s="9" t="n"/>
      <c r="B907" s="9" t="n"/>
      <c r="C907" s="30" t="n"/>
      <c r="D907" s="9">
        <f>IF($C907="","",YEAR($C907)&amp;"-"&amp;TEXT(MONTH($C907),"00"))</f>
        <v/>
      </c>
      <c r="E907" s="9" t="n"/>
      <c r="F907" s="9" t="n"/>
      <c r="G907" s="9" t="n"/>
      <c r="H907" s="24" t="n"/>
      <c r="I907" s="9" t="n"/>
      <c r="J907" s="24" t="n"/>
      <c r="K907" s="24" t="n"/>
      <c r="L907" s="24">
        <f>IF($H907="","",ROUND($H907*$J907-N($K907),2))</f>
        <v/>
      </c>
      <c r="M907" s="31" t="n"/>
      <c r="N907" s="24">
        <f>IF(OR($L907="",$M907=""),"",ROUND($L907-$L907/(1+$M907/100),2))</f>
        <v/>
      </c>
      <c r="O907" s="9" t="n"/>
      <c r="P907" s="9" t="n"/>
      <c r="Q907" s="9" t="n"/>
      <c r="R907" s="9" t="n"/>
      <c r="S907" s="9" t="n"/>
    </row>
    <row r="908">
      <c r="A908" s="9" t="n"/>
      <c r="B908" s="9" t="n"/>
      <c r="C908" s="30" t="n"/>
      <c r="D908" s="9">
        <f>IF($C908="","",YEAR($C908)&amp;"-"&amp;TEXT(MONTH($C908),"00"))</f>
        <v/>
      </c>
      <c r="E908" s="9" t="n"/>
      <c r="F908" s="9" t="n"/>
      <c r="G908" s="9" t="n"/>
      <c r="H908" s="24" t="n"/>
      <c r="I908" s="9" t="n"/>
      <c r="J908" s="24" t="n"/>
      <c r="K908" s="24" t="n"/>
      <c r="L908" s="24">
        <f>IF($H908="","",ROUND($H908*$J908-N($K908),2))</f>
        <v/>
      </c>
      <c r="M908" s="31" t="n"/>
      <c r="N908" s="24">
        <f>IF(OR($L908="",$M908=""),"",ROUND($L908-$L908/(1+$M908/100),2))</f>
        <v/>
      </c>
      <c r="O908" s="9" t="n"/>
      <c r="P908" s="9" t="n"/>
      <c r="Q908" s="9" t="n"/>
      <c r="R908" s="9" t="n"/>
      <c r="S908" s="9" t="n"/>
    </row>
    <row r="909">
      <c r="A909" s="9" t="n"/>
      <c r="B909" s="9" t="n"/>
      <c r="C909" s="30" t="n"/>
      <c r="D909" s="9">
        <f>IF($C909="","",YEAR($C909)&amp;"-"&amp;TEXT(MONTH($C909),"00"))</f>
        <v/>
      </c>
      <c r="E909" s="9" t="n"/>
      <c r="F909" s="9" t="n"/>
      <c r="G909" s="9" t="n"/>
      <c r="H909" s="24" t="n"/>
      <c r="I909" s="9" t="n"/>
      <c r="J909" s="24" t="n"/>
      <c r="K909" s="24" t="n"/>
      <c r="L909" s="24">
        <f>IF($H909="","",ROUND($H909*$J909-N($K909),2))</f>
        <v/>
      </c>
      <c r="M909" s="31" t="n"/>
      <c r="N909" s="24">
        <f>IF(OR($L909="",$M909=""),"",ROUND($L909-$L909/(1+$M909/100),2))</f>
        <v/>
      </c>
      <c r="O909" s="9" t="n"/>
      <c r="P909" s="9" t="n"/>
      <c r="Q909" s="9" t="n"/>
      <c r="R909" s="9" t="n"/>
      <c r="S909" s="9" t="n"/>
    </row>
    <row r="910">
      <c r="A910" s="9" t="n"/>
      <c r="B910" s="9" t="n"/>
      <c r="C910" s="30" t="n"/>
      <c r="D910" s="9">
        <f>IF($C910="","",YEAR($C910)&amp;"-"&amp;TEXT(MONTH($C910),"00"))</f>
        <v/>
      </c>
      <c r="E910" s="9" t="n"/>
      <c r="F910" s="9" t="n"/>
      <c r="G910" s="9" t="n"/>
      <c r="H910" s="24" t="n"/>
      <c r="I910" s="9" t="n"/>
      <c r="J910" s="24" t="n"/>
      <c r="K910" s="24" t="n"/>
      <c r="L910" s="24">
        <f>IF($H910="","",ROUND($H910*$J910-N($K910),2))</f>
        <v/>
      </c>
      <c r="M910" s="31" t="n"/>
      <c r="N910" s="24">
        <f>IF(OR($L910="",$M910=""),"",ROUND($L910-$L910/(1+$M910/100),2))</f>
        <v/>
      </c>
      <c r="O910" s="9" t="n"/>
      <c r="P910" s="9" t="n"/>
      <c r="Q910" s="9" t="n"/>
      <c r="R910" s="9" t="n"/>
      <c r="S910" s="9" t="n"/>
    </row>
    <row r="911">
      <c r="A911" s="9" t="n"/>
      <c r="B911" s="9" t="n"/>
      <c r="C911" s="30" t="n"/>
      <c r="D911" s="9">
        <f>IF($C911="","",YEAR($C911)&amp;"-"&amp;TEXT(MONTH($C911),"00"))</f>
        <v/>
      </c>
      <c r="E911" s="9" t="n"/>
      <c r="F911" s="9" t="n"/>
      <c r="G911" s="9" t="n"/>
      <c r="H911" s="24" t="n"/>
      <c r="I911" s="9" t="n"/>
      <c r="J911" s="24" t="n"/>
      <c r="K911" s="24" t="n"/>
      <c r="L911" s="24">
        <f>IF($H911="","",ROUND($H911*$J911-N($K911),2))</f>
        <v/>
      </c>
      <c r="M911" s="31" t="n"/>
      <c r="N911" s="24">
        <f>IF(OR($L911="",$M911=""),"",ROUND($L911-$L911/(1+$M911/100),2))</f>
        <v/>
      </c>
      <c r="O911" s="9" t="n"/>
      <c r="P911" s="9" t="n"/>
      <c r="Q911" s="9" t="n"/>
      <c r="R911" s="9" t="n"/>
      <c r="S911" s="9" t="n"/>
    </row>
    <row r="912">
      <c r="A912" s="9" t="n"/>
      <c r="B912" s="9" t="n"/>
      <c r="C912" s="30" t="n"/>
      <c r="D912" s="9">
        <f>IF($C912="","",YEAR($C912)&amp;"-"&amp;TEXT(MONTH($C912),"00"))</f>
        <v/>
      </c>
      <c r="E912" s="9" t="n"/>
      <c r="F912" s="9" t="n"/>
      <c r="G912" s="9" t="n"/>
      <c r="H912" s="24" t="n"/>
      <c r="I912" s="9" t="n"/>
      <c r="J912" s="24" t="n"/>
      <c r="K912" s="24" t="n"/>
      <c r="L912" s="24">
        <f>IF($H912="","",ROUND($H912*$J912-N($K912),2))</f>
        <v/>
      </c>
      <c r="M912" s="31" t="n"/>
      <c r="N912" s="24">
        <f>IF(OR($L912="",$M912=""),"",ROUND($L912-$L912/(1+$M912/100),2))</f>
        <v/>
      </c>
      <c r="O912" s="9" t="n"/>
      <c r="P912" s="9" t="n"/>
      <c r="Q912" s="9" t="n"/>
      <c r="R912" s="9" t="n"/>
      <c r="S912" s="9" t="n"/>
    </row>
    <row r="913">
      <c r="A913" s="9" t="n"/>
      <c r="B913" s="9" t="n"/>
      <c r="C913" s="30" t="n"/>
      <c r="D913" s="9">
        <f>IF($C913="","",YEAR($C913)&amp;"-"&amp;TEXT(MONTH($C913),"00"))</f>
        <v/>
      </c>
      <c r="E913" s="9" t="n"/>
      <c r="F913" s="9" t="n"/>
      <c r="G913" s="9" t="n"/>
      <c r="H913" s="24" t="n"/>
      <c r="I913" s="9" t="n"/>
      <c r="J913" s="24" t="n"/>
      <c r="K913" s="24" t="n"/>
      <c r="L913" s="24">
        <f>IF($H913="","",ROUND($H913*$J913-N($K913),2))</f>
        <v/>
      </c>
      <c r="M913" s="31" t="n"/>
      <c r="N913" s="24">
        <f>IF(OR($L913="",$M913=""),"",ROUND($L913-$L913/(1+$M913/100),2))</f>
        <v/>
      </c>
      <c r="O913" s="9" t="n"/>
      <c r="P913" s="9" t="n"/>
      <c r="Q913" s="9" t="n"/>
      <c r="R913" s="9" t="n"/>
      <c r="S913" s="9" t="n"/>
    </row>
    <row r="914">
      <c r="A914" s="9" t="n"/>
      <c r="B914" s="9" t="n"/>
      <c r="C914" s="30" t="n"/>
      <c r="D914" s="9">
        <f>IF($C914="","",YEAR($C914)&amp;"-"&amp;TEXT(MONTH($C914),"00"))</f>
        <v/>
      </c>
      <c r="E914" s="9" t="n"/>
      <c r="F914" s="9" t="n"/>
      <c r="G914" s="9" t="n"/>
      <c r="H914" s="24" t="n"/>
      <c r="I914" s="9" t="n"/>
      <c r="J914" s="24" t="n"/>
      <c r="K914" s="24" t="n"/>
      <c r="L914" s="24">
        <f>IF($H914="","",ROUND($H914*$J914-N($K914),2))</f>
        <v/>
      </c>
      <c r="M914" s="31" t="n"/>
      <c r="N914" s="24">
        <f>IF(OR($L914="",$M914=""),"",ROUND($L914-$L914/(1+$M914/100),2))</f>
        <v/>
      </c>
      <c r="O914" s="9" t="n"/>
      <c r="P914" s="9" t="n"/>
      <c r="Q914" s="9" t="n"/>
      <c r="R914" s="9" t="n"/>
      <c r="S914" s="9" t="n"/>
    </row>
    <row r="915">
      <c r="A915" s="9" t="n"/>
      <c r="B915" s="9" t="n"/>
      <c r="C915" s="30" t="n"/>
      <c r="D915" s="9">
        <f>IF($C915="","",YEAR($C915)&amp;"-"&amp;TEXT(MONTH($C915),"00"))</f>
        <v/>
      </c>
      <c r="E915" s="9" t="n"/>
      <c r="F915" s="9" t="n"/>
      <c r="G915" s="9" t="n"/>
      <c r="H915" s="24" t="n"/>
      <c r="I915" s="9" t="n"/>
      <c r="J915" s="24" t="n"/>
      <c r="K915" s="24" t="n"/>
      <c r="L915" s="24">
        <f>IF($H915="","",ROUND($H915*$J915-N($K915),2))</f>
        <v/>
      </c>
      <c r="M915" s="31" t="n"/>
      <c r="N915" s="24">
        <f>IF(OR($L915="",$M915=""),"",ROUND($L915-$L915/(1+$M915/100),2))</f>
        <v/>
      </c>
      <c r="O915" s="9" t="n"/>
      <c r="P915" s="9" t="n"/>
      <c r="Q915" s="9" t="n"/>
      <c r="R915" s="9" t="n"/>
      <c r="S915" s="9" t="n"/>
    </row>
    <row r="916">
      <c r="A916" s="9" t="n"/>
      <c r="B916" s="9" t="n"/>
      <c r="C916" s="30" t="n"/>
      <c r="D916" s="9">
        <f>IF($C916="","",YEAR($C916)&amp;"-"&amp;TEXT(MONTH($C916),"00"))</f>
        <v/>
      </c>
      <c r="E916" s="9" t="n"/>
      <c r="F916" s="9" t="n"/>
      <c r="G916" s="9" t="n"/>
      <c r="H916" s="24" t="n"/>
      <c r="I916" s="9" t="n"/>
      <c r="J916" s="24" t="n"/>
      <c r="K916" s="24" t="n"/>
      <c r="L916" s="24">
        <f>IF($H916="","",ROUND($H916*$J916-N($K916),2))</f>
        <v/>
      </c>
      <c r="M916" s="31" t="n"/>
      <c r="N916" s="24">
        <f>IF(OR($L916="",$M916=""),"",ROUND($L916-$L916/(1+$M916/100),2))</f>
        <v/>
      </c>
      <c r="O916" s="9" t="n"/>
      <c r="P916" s="9" t="n"/>
      <c r="Q916" s="9" t="n"/>
      <c r="R916" s="9" t="n"/>
      <c r="S916" s="9" t="n"/>
    </row>
    <row r="917">
      <c r="A917" s="9" t="n"/>
      <c r="B917" s="9" t="n"/>
      <c r="C917" s="30" t="n"/>
      <c r="D917" s="9">
        <f>IF($C917="","",YEAR($C917)&amp;"-"&amp;TEXT(MONTH($C917),"00"))</f>
        <v/>
      </c>
      <c r="E917" s="9" t="n"/>
      <c r="F917" s="9" t="n"/>
      <c r="G917" s="9" t="n"/>
      <c r="H917" s="24" t="n"/>
      <c r="I917" s="9" t="n"/>
      <c r="J917" s="24" t="n"/>
      <c r="K917" s="24" t="n"/>
      <c r="L917" s="24">
        <f>IF($H917="","",ROUND($H917*$J917-N($K917),2))</f>
        <v/>
      </c>
      <c r="M917" s="31" t="n"/>
      <c r="N917" s="24">
        <f>IF(OR($L917="",$M917=""),"",ROUND($L917-$L917/(1+$M917/100),2))</f>
        <v/>
      </c>
      <c r="O917" s="9" t="n"/>
      <c r="P917" s="9" t="n"/>
      <c r="Q917" s="9" t="n"/>
      <c r="R917" s="9" t="n"/>
      <c r="S917" s="9" t="n"/>
    </row>
    <row r="918">
      <c r="A918" s="9" t="n"/>
      <c r="B918" s="9" t="n"/>
      <c r="C918" s="30" t="n"/>
      <c r="D918" s="9">
        <f>IF($C918="","",YEAR($C918)&amp;"-"&amp;TEXT(MONTH($C918),"00"))</f>
        <v/>
      </c>
      <c r="E918" s="9" t="n"/>
      <c r="F918" s="9" t="n"/>
      <c r="G918" s="9" t="n"/>
      <c r="H918" s="24" t="n"/>
      <c r="I918" s="9" t="n"/>
      <c r="J918" s="24" t="n"/>
      <c r="K918" s="24" t="n"/>
      <c r="L918" s="24">
        <f>IF($H918="","",ROUND($H918*$J918-N($K918),2))</f>
        <v/>
      </c>
      <c r="M918" s="31" t="n"/>
      <c r="N918" s="24">
        <f>IF(OR($L918="",$M918=""),"",ROUND($L918-$L918/(1+$M918/100),2))</f>
        <v/>
      </c>
      <c r="O918" s="9" t="n"/>
      <c r="P918" s="9" t="n"/>
      <c r="Q918" s="9" t="n"/>
      <c r="R918" s="9" t="n"/>
      <c r="S918" s="9" t="n"/>
    </row>
    <row r="919">
      <c r="A919" s="9" t="n"/>
      <c r="B919" s="9" t="n"/>
      <c r="C919" s="30" t="n"/>
      <c r="D919" s="9">
        <f>IF($C919="","",YEAR($C919)&amp;"-"&amp;TEXT(MONTH($C919),"00"))</f>
        <v/>
      </c>
      <c r="E919" s="9" t="n"/>
      <c r="F919" s="9" t="n"/>
      <c r="G919" s="9" t="n"/>
      <c r="H919" s="24" t="n"/>
      <c r="I919" s="9" t="n"/>
      <c r="J919" s="24" t="n"/>
      <c r="K919" s="24" t="n"/>
      <c r="L919" s="24">
        <f>IF($H919="","",ROUND($H919*$J919-N($K919),2))</f>
        <v/>
      </c>
      <c r="M919" s="31" t="n"/>
      <c r="N919" s="24">
        <f>IF(OR($L919="",$M919=""),"",ROUND($L919-$L919/(1+$M919/100),2))</f>
        <v/>
      </c>
      <c r="O919" s="9" t="n"/>
      <c r="P919" s="9" t="n"/>
      <c r="Q919" s="9" t="n"/>
      <c r="R919" s="9" t="n"/>
      <c r="S919" s="9" t="n"/>
    </row>
    <row r="920">
      <c r="A920" s="9" t="n"/>
      <c r="B920" s="9" t="n"/>
      <c r="C920" s="30" t="n"/>
      <c r="D920" s="9">
        <f>IF($C920="","",YEAR($C920)&amp;"-"&amp;TEXT(MONTH($C920),"00"))</f>
        <v/>
      </c>
      <c r="E920" s="9" t="n"/>
      <c r="F920" s="9" t="n"/>
      <c r="G920" s="9" t="n"/>
      <c r="H920" s="24" t="n"/>
      <c r="I920" s="9" t="n"/>
      <c r="J920" s="24" t="n"/>
      <c r="K920" s="24" t="n"/>
      <c r="L920" s="24">
        <f>IF($H920="","",ROUND($H920*$J920-N($K920),2))</f>
        <v/>
      </c>
      <c r="M920" s="31" t="n"/>
      <c r="N920" s="24">
        <f>IF(OR($L920="",$M920=""),"",ROUND($L920-$L920/(1+$M920/100),2))</f>
        <v/>
      </c>
      <c r="O920" s="9" t="n"/>
      <c r="P920" s="9" t="n"/>
      <c r="Q920" s="9" t="n"/>
      <c r="R920" s="9" t="n"/>
      <c r="S920" s="9" t="n"/>
    </row>
    <row r="921">
      <c r="A921" s="9" t="n"/>
      <c r="B921" s="9" t="n"/>
      <c r="C921" s="30" t="n"/>
      <c r="D921" s="9">
        <f>IF($C921="","",YEAR($C921)&amp;"-"&amp;TEXT(MONTH($C921),"00"))</f>
        <v/>
      </c>
      <c r="E921" s="9" t="n"/>
      <c r="F921" s="9" t="n"/>
      <c r="G921" s="9" t="n"/>
      <c r="H921" s="24" t="n"/>
      <c r="I921" s="9" t="n"/>
      <c r="J921" s="24" t="n"/>
      <c r="K921" s="24" t="n"/>
      <c r="L921" s="24">
        <f>IF($H921="","",ROUND($H921*$J921-N($K921),2))</f>
        <v/>
      </c>
      <c r="M921" s="31" t="n"/>
      <c r="N921" s="24">
        <f>IF(OR($L921="",$M921=""),"",ROUND($L921-$L921/(1+$M921/100),2))</f>
        <v/>
      </c>
      <c r="O921" s="9" t="n"/>
      <c r="P921" s="9" t="n"/>
      <c r="Q921" s="9" t="n"/>
      <c r="R921" s="9" t="n"/>
      <c r="S921" s="9" t="n"/>
    </row>
    <row r="922">
      <c r="A922" s="9" t="n"/>
      <c r="B922" s="9" t="n"/>
      <c r="C922" s="30" t="n"/>
      <c r="D922" s="9">
        <f>IF($C922="","",YEAR($C922)&amp;"-"&amp;TEXT(MONTH($C922),"00"))</f>
        <v/>
      </c>
      <c r="E922" s="9" t="n"/>
      <c r="F922" s="9" t="n"/>
      <c r="G922" s="9" t="n"/>
      <c r="H922" s="24" t="n"/>
      <c r="I922" s="9" t="n"/>
      <c r="J922" s="24" t="n"/>
      <c r="K922" s="24" t="n"/>
      <c r="L922" s="24">
        <f>IF($H922="","",ROUND($H922*$J922-N($K922),2))</f>
        <v/>
      </c>
      <c r="M922" s="31" t="n"/>
      <c r="N922" s="24">
        <f>IF(OR($L922="",$M922=""),"",ROUND($L922-$L922/(1+$M922/100),2))</f>
        <v/>
      </c>
      <c r="O922" s="9" t="n"/>
      <c r="P922" s="9" t="n"/>
      <c r="Q922" s="9" t="n"/>
      <c r="R922" s="9" t="n"/>
      <c r="S922" s="9" t="n"/>
    </row>
    <row r="923">
      <c r="A923" s="9" t="n"/>
      <c r="B923" s="9" t="n"/>
      <c r="C923" s="30" t="n"/>
      <c r="D923" s="9">
        <f>IF($C923="","",YEAR($C923)&amp;"-"&amp;TEXT(MONTH($C923),"00"))</f>
        <v/>
      </c>
      <c r="E923" s="9" t="n"/>
      <c r="F923" s="9" t="n"/>
      <c r="G923" s="9" t="n"/>
      <c r="H923" s="24" t="n"/>
      <c r="I923" s="9" t="n"/>
      <c r="J923" s="24" t="n"/>
      <c r="K923" s="24" t="n"/>
      <c r="L923" s="24">
        <f>IF($H923="","",ROUND($H923*$J923-N($K923),2))</f>
        <v/>
      </c>
      <c r="M923" s="31" t="n"/>
      <c r="N923" s="24">
        <f>IF(OR($L923="",$M923=""),"",ROUND($L923-$L923/(1+$M923/100),2))</f>
        <v/>
      </c>
      <c r="O923" s="9" t="n"/>
      <c r="P923" s="9" t="n"/>
      <c r="Q923" s="9" t="n"/>
      <c r="R923" s="9" t="n"/>
      <c r="S923" s="9" t="n"/>
    </row>
    <row r="924">
      <c r="A924" s="9" t="n"/>
      <c r="B924" s="9" t="n"/>
      <c r="C924" s="30" t="n"/>
      <c r="D924" s="9">
        <f>IF($C924="","",YEAR($C924)&amp;"-"&amp;TEXT(MONTH($C924),"00"))</f>
        <v/>
      </c>
      <c r="E924" s="9" t="n"/>
      <c r="F924" s="9" t="n"/>
      <c r="G924" s="9" t="n"/>
      <c r="H924" s="24" t="n"/>
      <c r="I924" s="9" t="n"/>
      <c r="J924" s="24" t="n"/>
      <c r="K924" s="24" t="n"/>
      <c r="L924" s="24">
        <f>IF($H924="","",ROUND($H924*$J924-N($K924),2))</f>
        <v/>
      </c>
      <c r="M924" s="31" t="n"/>
      <c r="N924" s="24">
        <f>IF(OR($L924="",$M924=""),"",ROUND($L924-$L924/(1+$M924/100),2))</f>
        <v/>
      </c>
      <c r="O924" s="9" t="n"/>
      <c r="P924" s="9" t="n"/>
      <c r="Q924" s="9" t="n"/>
      <c r="R924" s="9" t="n"/>
      <c r="S924" s="9" t="n"/>
    </row>
    <row r="925">
      <c r="A925" s="9" t="n"/>
      <c r="B925" s="9" t="n"/>
      <c r="C925" s="30" t="n"/>
      <c r="D925" s="9">
        <f>IF($C925="","",YEAR($C925)&amp;"-"&amp;TEXT(MONTH($C925),"00"))</f>
        <v/>
      </c>
      <c r="E925" s="9" t="n"/>
      <c r="F925" s="9" t="n"/>
      <c r="G925" s="9" t="n"/>
      <c r="H925" s="24" t="n"/>
      <c r="I925" s="9" t="n"/>
      <c r="J925" s="24" t="n"/>
      <c r="K925" s="24" t="n"/>
      <c r="L925" s="24">
        <f>IF($H925="","",ROUND($H925*$J925-N($K925),2))</f>
        <v/>
      </c>
      <c r="M925" s="31" t="n"/>
      <c r="N925" s="24">
        <f>IF(OR($L925="",$M925=""),"",ROUND($L925-$L925/(1+$M925/100),2))</f>
        <v/>
      </c>
      <c r="O925" s="9" t="n"/>
      <c r="P925" s="9" t="n"/>
      <c r="Q925" s="9" t="n"/>
      <c r="R925" s="9" t="n"/>
      <c r="S925" s="9" t="n"/>
    </row>
    <row r="926">
      <c r="A926" s="9" t="n"/>
      <c r="B926" s="9" t="n"/>
      <c r="C926" s="30" t="n"/>
      <c r="D926" s="9">
        <f>IF($C926="","",YEAR($C926)&amp;"-"&amp;TEXT(MONTH($C926),"00"))</f>
        <v/>
      </c>
      <c r="E926" s="9" t="n"/>
      <c r="F926" s="9" t="n"/>
      <c r="G926" s="9" t="n"/>
      <c r="H926" s="24" t="n"/>
      <c r="I926" s="9" t="n"/>
      <c r="J926" s="24" t="n"/>
      <c r="K926" s="24" t="n"/>
      <c r="L926" s="24">
        <f>IF($H926="","",ROUND($H926*$J926-N($K926),2))</f>
        <v/>
      </c>
      <c r="M926" s="31" t="n"/>
      <c r="N926" s="24">
        <f>IF(OR($L926="",$M926=""),"",ROUND($L926-$L926/(1+$M926/100),2))</f>
        <v/>
      </c>
      <c r="O926" s="9" t="n"/>
      <c r="P926" s="9" t="n"/>
      <c r="Q926" s="9" t="n"/>
      <c r="R926" s="9" t="n"/>
      <c r="S926" s="9" t="n"/>
    </row>
    <row r="927">
      <c r="A927" s="9" t="n"/>
      <c r="B927" s="9" t="n"/>
      <c r="C927" s="30" t="n"/>
      <c r="D927" s="9">
        <f>IF($C927="","",YEAR($C927)&amp;"-"&amp;TEXT(MONTH($C927),"00"))</f>
        <v/>
      </c>
      <c r="E927" s="9" t="n"/>
      <c r="F927" s="9" t="n"/>
      <c r="G927" s="9" t="n"/>
      <c r="H927" s="24" t="n"/>
      <c r="I927" s="9" t="n"/>
      <c r="J927" s="24" t="n"/>
      <c r="K927" s="24" t="n"/>
      <c r="L927" s="24">
        <f>IF($H927="","",ROUND($H927*$J927-N($K927),2))</f>
        <v/>
      </c>
      <c r="M927" s="31" t="n"/>
      <c r="N927" s="24">
        <f>IF(OR($L927="",$M927=""),"",ROUND($L927-$L927/(1+$M927/100),2))</f>
        <v/>
      </c>
      <c r="O927" s="9" t="n"/>
      <c r="P927" s="9" t="n"/>
      <c r="Q927" s="9" t="n"/>
      <c r="R927" s="9" t="n"/>
      <c r="S927" s="9" t="n"/>
    </row>
    <row r="928">
      <c r="A928" s="9" t="n"/>
      <c r="B928" s="9" t="n"/>
      <c r="C928" s="30" t="n"/>
      <c r="D928" s="9">
        <f>IF($C928="","",YEAR($C928)&amp;"-"&amp;TEXT(MONTH($C928),"00"))</f>
        <v/>
      </c>
      <c r="E928" s="9" t="n"/>
      <c r="F928" s="9" t="n"/>
      <c r="G928" s="9" t="n"/>
      <c r="H928" s="24" t="n"/>
      <c r="I928" s="9" t="n"/>
      <c r="J928" s="24" t="n"/>
      <c r="K928" s="24" t="n"/>
      <c r="L928" s="24">
        <f>IF($H928="","",ROUND($H928*$J928-N($K928),2))</f>
        <v/>
      </c>
      <c r="M928" s="31" t="n"/>
      <c r="N928" s="24">
        <f>IF(OR($L928="",$M928=""),"",ROUND($L928-$L928/(1+$M928/100),2))</f>
        <v/>
      </c>
      <c r="O928" s="9" t="n"/>
      <c r="P928" s="9" t="n"/>
      <c r="Q928" s="9" t="n"/>
      <c r="R928" s="9" t="n"/>
      <c r="S928" s="9" t="n"/>
    </row>
    <row r="929">
      <c r="A929" s="9" t="n"/>
      <c r="B929" s="9" t="n"/>
      <c r="C929" s="30" t="n"/>
      <c r="D929" s="9">
        <f>IF($C929="","",YEAR($C929)&amp;"-"&amp;TEXT(MONTH($C929),"00"))</f>
        <v/>
      </c>
      <c r="E929" s="9" t="n"/>
      <c r="F929" s="9" t="n"/>
      <c r="G929" s="9" t="n"/>
      <c r="H929" s="24" t="n"/>
      <c r="I929" s="9" t="n"/>
      <c r="J929" s="24" t="n"/>
      <c r="K929" s="24" t="n"/>
      <c r="L929" s="24">
        <f>IF($H929="","",ROUND($H929*$J929-N($K929),2))</f>
        <v/>
      </c>
      <c r="M929" s="31" t="n"/>
      <c r="N929" s="24">
        <f>IF(OR($L929="",$M929=""),"",ROUND($L929-$L929/(1+$M929/100),2))</f>
        <v/>
      </c>
      <c r="O929" s="9" t="n"/>
      <c r="P929" s="9" t="n"/>
      <c r="Q929" s="9" t="n"/>
      <c r="R929" s="9" t="n"/>
      <c r="S929" s="9" t="n"/>
    </row>
    <row r="930">
      <c r="A930" s="9" t="n"/>
      <c r="B930" s="9" t="n"/>
      <c r="C930" s="30" t="n"/>
      <c r="D930" s="9">
        <f>IF($C930="","",YEAR($C930)&amp;"-"&amp;TEXT(MONTH($C930),"00"))</f>
        <v/>
      </c>
      <c r="E930" s="9" t="n"/>
      <c r="F930" s="9" t="n"/>
      <c r="G930" s="9" t="n"/>
      <c r="H930" s="24" t="n"/>
      <c r="I930" s="9" t="n"/>
      <c r="J930" s="24" t="n"/>
      <c r="K930" s="24" t="n"/>
      <c r="L930" s="24">
        <f>IF($H930="","",ROUND($H930*$J930-N($K930),2))</f>
        <v/>
      </c>
      <c r="M930" s="31" t="n"/>
      <c r="N930" s="24">
        <f>IF(OR($L930="",$M930=""),"",ROUND($L930-$L930/(1+$M930/100),2))</f>
        <v/>
      </c>
      <c r="O930" s="9" t="n"/>
      <c r="P930" s="9" t="n"/>
      <c r="Q930" s="9" t="n"/>
      <c r="R930" s="9" t="n"/>
      <c r="S930" s="9" t="n"/>
    </row>
    <row r="931">
      <c r="A931" s="9" t="n"/>
      <c r="B931" s="9" t="n"/>
      <c r="C931" s="30" t="n"/>
      <c r="D931" s="9">
        <f>IF($C931="","",YEAR($C931)&amp;"-"&amp;TEXT(MONTH($C931),"00"))</f>
        <v/>
      </c>
      <c r="E931" s="9" t="n"/>
      <c r="F931" s="9" t="n"/>
      <c r="G931" s="9" t="n"/>
      <c r="H931" s="24" t="n"/>
      <c r="I931" s="9" t="n"/>
      <c r="J931" s="24" t="n"/>
      <c r="K931" s="24" t="n"/>
      <c r="L931" s="24">
        <f>IF($H931="","",ROUND($H931*$J931-N($K931),2))</f>
        <v/>
      </c>
      <c r="M931" s="31" t="n"/>
      <c r="N931" s="24">
        <f>IF(OR($L931="",$M931=""),"",ROUND($L931-$L931/(1+$M931/100),2))</f>
        <v/>
      </c>
      <c r="O931" s="9" t="n"/>
      <c r="P931" s="9" t="n"/>
      <c r="Q931" s="9" t="n"/>
      <c r="R931" s="9" t="n"/>
      <c r="S931" s="9" t="n"/>
    </row>
    <row r="932">
      <c r="A932" s="9" t="n"/>
      <c r="B932" s="9" t="n"/>
      <c r="C932" s="30" t="n"/>
      <c r="D932" s="9">
        <f>IF($C932="","",YEAR($C932)&amp;"-"&amp;TEXT(MONTH($C932),"00"))</f>
        <v/>
      </c>
      <c r="E932" s="9" t="n"/>
      <c r="F932" s="9" t="n"/>
      <c r="G932" s="9" t="n"/>
      <c r="H932" s="24" t="n"/>
      <c r="I932" s="9" t="n"/>
      <c r="J932" s="24" t="n"/>
      <c r="K932" s="24" t="n"/>
      <c r="L932" s="24">
        <f>IF($H932="","",ROUND($H932*$J932-N($K932),2))</f>
        <v/>
      </c>
      <c r="M932" s="31" t="n"/>
      <c r="N932" s="24">
        <f>IF(OR($L932="",$M932=""),"",ROUND($L932-$L932/(1+$M932/100),2))</f>
        <v/>
      </c>
      <c r="O932" s="9" t="n"/>
      <c r="P932" s="9" t="n"/>
      <c r="Q932" s="9" t="n"/>
      <c r="R932" s="9" t="n"/>
      <c r="S932" s="9" t="n"/>
    </row>
    <row r="933">
      <c r="A933" s="9" t="n"/>
      <c r="B933" s="9" t="n"/>
      <c r="C933" s="30" t="n"/>
      <c r="D933" s="9">
        <f>IF($C933="","",YEAR($C933)&amp;"-"&amp;TEXT(MONTH($C933),"00"))</f>
        <v/>
      </c>
      <c r="E933" s="9" t="n"/>
      <c r="F933" s="9" t="n"/>
      <c r="G933" s="9" t="n"/>
      <c r="H933" s="24" t="n"/>
      <c r="I933" s="9" t="n"/>
      <c r="J933" s="24" t="n"/>
      <c r="K933" s="24" t="n"/>
      <c r="L933" s="24">
        <f>IF($H933="","",ROUND($H933*$J933-N($K933),2))</f>
        <v/>
      </c>
      <c r="M933" s="31" t="n"/>
      <c r="N933" s="24">
        <f>IF(OR($L933="",$M933=""),"",ROUND($L933-$L933/(1+$M933/100),2))</f>
        <v/>
      </c>
      <c r="O933" s="9" t="n"/>
      <c r="P933" s="9" t="n"/>
      <c r="Q933" s="9" t="n"/>
      <c r="R933" s="9" t="n"/>
      <c r="S933" s="9" t="n"/>
    </row>
    <row r="934">
      <c r="A934" s="9" t="n"/>
      <c r="B934" s="9" t="n"/>
      <c r="C934" s="30" t="n"/>
      <c r="D934" s="9">
        <f>IF($C934="","",YEAR($C934)&amp;"-"&amp;TEXT(MONTH($C934),"00"))</f>
        <v/>
      </c>
      <c r="E934" s="9" t="n"/>
      <c r="F934" s="9" t="n"/>
      <c r="G934" s="9" t="n"/>
      <c r="H934" s="24" t="n"/>
      <c r="I934" s="9" t="n"/>
      <c r="J934" s="24" t="n"/>
      <c r="K934" s="24" t="n"/>
      <c r="L934" s="24">
        <f>IF($H934="","",ROUND($H934*$J934-N($K934),2))</f>
        <v/>
      </c>
      <c r="M934" s="31" t="n"/>
      <c r="N934" s="24">
        <f>IF(OR($L934="",$M934=""),"",ROUND($L934-$L934/(1+$M934/100),2))</f>
        <v/>
      </c>
      <c r="O934" s="9" t="n"/>
      <c r="P934" s="9" t="n"/>
      <c r="Q934" s="9" t="n"/>
      <c r="R934" s="9" t="n"/>
      <c r="S934" s="9" t="n"/>
    </row>
    <row r="935">
      <c r="A935" s="9" t="n"/>
      <c r="B935" s="9" t="n"/>
      <c r="C935" s="30" t="n"/>
      <c r="D935" s="9">
        <f>IF($C935="","",YEAR($C935)&amp;"-"&amp;TEXT(MONTH($C935),"00"))</f>
        <v/>
      </c>
      <c r="E935" s="9" t="n"/>
      <c r="F935" s="9" t="n"/>
      <c r="G935" s="9" t="n"/>
      <c r="H935" s="24" t="n"/>
      <c r="I935" s="9" t="n"/>
      <c r="J935" s="24" t="n"/>
      <c r="K935" s="24" t="n"/>
      <c r="L935" s="24">
        <f>IF($H935="","",ROUND($H935*$J935-N($K935),2))</f>
        <v/>
      </c>
      <c r="M935" s="31" t="n"/>
      <c r="N935" s="24">
        <f>IF(OR($L935="",$M935=""),"",ROUND($L935-$L935/(1+$M935/100),2))</f>
        <v/>
      </c>
      <c r="O935" s="9" t="n"/>
      <c r="P935" s="9" t="n"/>
      <c r="Q935" s="9" t="n"/>
      <c r="R935" s="9" t="n"/>
      <c r="S935" s="9" t="n"/>
    </row>
    <row r="936">
      <c r="A936" s="9" t="n"/>
      <c r="B936" s="9" t="n"/>
      <c r="C936" s="30" t="n"/>
      <c r="D936" s="9">
        <f>IF($C936="","",YEAR($C936)&amp;"-"&amp;TEXT(MONTH($C936),"00"))</f>
        <v/>
      </c>
      <c r="E936" s="9" t="n"/>
      <c r="F936" s="9" t="n"/>
      <c r="G936" s="9" t="n"/>
      <c r="H936" s="24" t="n"/>
      <c r="I936" s="9" t="n"/>
      <c r="J936" s="24" t="n"/>
      <c r="K936" s="24" t="n"/>
      <c r="L936" s="24">
        <f>IF($H936="","",ROUND($H936*$J936-N($K936),2))</f>
        <v/>
      </c>
      <c r="M936" s="31" t="n"/>
      <c r="N936" s="24">
        <f>IF(OR($L936="",$M936=""),"",ROUND($L936-$L936/(1+$M936/100),2))</f>
        <v/>
      </c>
      <c r="O936" s="9" t="n"/>
      <c r="P936" s="9" t="n"/>
      <c r="Q936" s="9" t="n"/>
      <c r="R936" s="9" t="n"/>
      <c r="S936" s="9" t="n"/>
    </row>
    <row r="937">
      <c r="A937" s="9" t="n"/>
      <c r="B937" s="9" t="n"/>
      <c r="C937" s="30" t="n"/>
      <c r="D937" s="9">
        <f>IF($C937="","",YEAR($C937)&amp;"-"&amp;TEXT(MONTH($C937),"00"))</f>
        <v/>
      </c>
      <c r="E937" s="9" t="n"/>
      <c r="F937" s="9" t="n"/>
      <c r="G937" s="9" t="n"/>
      <c r="H937" s="24" t="n"/>
      <c r="I937" s="9" t="n"/>
      <c r="J937" s="24" t="n"/>
      <c r="K937" s="24" t="n"/>
      <c r="L937" s="24">
        <f>IF($H937="","",ROUND($H937*$J937-N($K937),2))</f>
        <v/>
      </c>
      <c r="M937" s="31" t="n"/>
      <c r="N937" s="24">
        <f>IF(OR($L937="",$M937=""),"",ROUND($L937-$L937/(1+$M937/100),2))</f>
        <v/>
      </c>
      <c r="O937" s="9" t="n"/>
      <c r="P937" s="9" t="n"/>
      <c r="Q937" s="9" t="n"/>
      <c r="R937" s="9" t="n"/>
      <c r="S937" s="9" t="n"/>
    </row>
    <row r="938">
      <c r="A938" s="9" t="n"/>
      <c r="B938" s="9" t="n"/>
      <c r="C938" s="30" t="n"/>
      <c r="D938" s="9">
        <f>IF($C938="","",YEAR($C938)&amp;"-"&amp;TEXT(MONTH($C938),"00"))</f>
        <v/>
      </c>
      <c r="E938" s="9" t="n"/>
      <c r="F938" s="9" t="n"/>
      <c r="G938" s="9" t="n"/>
      <c r="H938" s="24" t="n"/>
      <c r="I938" s="9" t="n"/>
      <c r="J938" s="24" t="n"/>
      <c r="K938" s="24" t="n"/>
      <c r="L938" s="24">
        <f>IF($H938="","",ROUND($H938*$J938-N($K938),2))</f>
        <v/>
      </c>
      <c r="M938" s="31" t="n"/>
      <c r="N938" s="24">
        <f>IF(OR($L938="",$M938=""),"",ROUND($L938-$L938/(1+$M938/100),2))</f>
        <v/>
      </c>
      <c r="O938" s="9" t="n"/>
      <c r="P938" s="9" t="n"/>
      <c r="Q938" s="9" t="n"/>
      <c r="R938" s="9" t="n"/>
      <c r="S938" s="9" t="n"/>
    </row>
    <row r="939">
      <c r="A939" s="9" t="n"/>
      <c r="B939" s="9" t="n"/>
      <c r="C939" s="30" t="n"/>
      <c r="D939" s="9">
        <f>IF($C939="","",YEAR($C939)&amp;"-"&amp;TEXT(MONTH($C939),"00"))</f>
        <v/>
      </c>
      <c r="E939" s="9" t="n"/>
      <c r="F939" s="9" t="n"/>
      <c r="G939" s="9" t="n"/>
      <c r="H939" s="24" t="n"/>
      <c r="I939" s="9" t="n"/>
      <c r="J939" s="24" t="n"/>
      <c r="K939" s="24" t="n"/>
      <c r="L939" s="24">
        <f>IF($H939="","",ROUND($H939*$J939-N($K939),2))</f>
        <v/>
      </c>
      <c r="M939" s="31" t="n"/>
      <c r="N939" s="24">
        <f>IF(OR($L939="",$M939=""),"",ROUND($L939-$L939/(1+$M939/100),2))</f>
        <v/>
      </c>
      <c r="O939" s="9" t="n"/>
      <c r="P939" s="9" t="n"/>
      <c r="Q939" s="9" t="n"/>
      <c r="R939" s="9" t="n"/>
      <c r="S939" s="9" t="n"/>
    </row>
    <row r="940">
      <c r="A940" s="9" t="n"/>
      <c r="B940" s="9" t="n"/>
      <c r="C940" s="30" t="n"/>
      <c r="D940" s="9">
        <f>IF($C940="","",YEAR($C940)&amp;"-"&amp;TEXT(MONTH($C940),"00"))</f>
        <v/>
      </c>
      <c r="E940" s="9" t="n"/>
      <c r="F940" s="9" t="n"/>
      <c r="G940" s="9" t="n"/>
      <c r="H940" s="24" t="n"/>
      <c r="I940" s="9" t="n"/>
      <c r="J940" s="24" t="n"/>
      <c r="K940" s="24" t="n"/>
      <c r="L940" s="24">
        <f>IF($H940="","",ROUND($H940*$J940-N($K940),2))</f>
        <v/>
      </c>
      <c r="M940" s="31" t="n"/>
      <c r="N940" s="24">
        <f>IF(OR($L940="",$M940=""),"",ROUND($L940-$L940/(1+$M940/100),2))</f>
        <v/>
      </c>
      <c r="O940" s="9" t="n"/>
      <c r="P940" s="9" t="n"/>
      <c r="Q940" s="9" t="n"/>
      <c r="R940" s="9" t="n"/>
      <c r="S940" s="9" t="n"/>
    </row>
    <row r="941">
      <c r="A941" s="9" t="n"/>
      <c r="B941" s="9" t="n"/>
      <c r="C941" s="30" t="n"/>
      <c r="D941" s="9">
        <f>IF($C941="","",YEAR($C941)&amp;"-"&amp;TEXT(MONTH($C941),"00"))</f>
        <v/>
      </c>
      <c r="E941" s="9" t="n"/>
      <c r="F941" s="9" t="n"/>
      <c r="G941" s="9" t="n"/>
      <c r="H941" s="24" t="n"/>
      <c r="I941" s="9" t="n"/>
      <c r="J941" s="24" t="n"/>
      <c r="K941" s="24" t="n"/>
      <c r="L941" s="24">
        <f>IF($H941="","",ROUND($H941*$J941-N($K941),2))</f>
        <v/>
      </c>
      <c r="M941" s="31" t="n"/>
      <c r="N941" s="24">
        <f>IF(OR($L941="",$M941=""),"",ROUND($L941-$L941/(1+$M941/100),2))</f>
        <v/>
      </c>
      <c r="O941" s="9" t="n"/>
      <c r="P941" s="9" t="n"/>
      <c r="Q941" s="9" t="n"/>
      <c r="R941" s="9" t="n"/>
      <c r="S941" s="9" t="n"/>
    </row>
    <row r="942">
      <c r="A942" s="9" t="n"/>
      <c r="B942" s="9" t="n"/>
      <c r="C942" s="30" t="n"/>
      <c r="D942" s="9">
        <f>IF($C942="","",YEAR($C942)&amp;"-"&amp;TEXT(MONTH($C942),"00"))</f>
        <v/>
      </c>
      <c r="E942" s="9" t="n"/>
      <c r="F942" s="9" t="n"/>
      <c r="G942" s="9" t="n"/>
      <c r="H942" s="24" t="n"/>
      <c r="I942" s="9" t="n"/>
      <c r="J942" s="24" t="n"/>
      <c r="K942" s="24" t="n"/>
      <c r="L942" s="24">
        <f>IF($H942="","",ROUND($H942*$J942-N($K942),2))</f>
        <v/>
      </c>
      <c r="M942" s="31" t="n"/>
      <c r="N942" s="24">
        <f>IF(OR($L942="",$M942=""),"",ROUND($L942-$L942/(1+$M942/100),2))</f>
        <v/>
      </c>
      <c r="O942" s="9" t="n"/>
      <c r="P942" s="9" t="n"/>
      <c r="Q942" s="9" t="n"/>
      <c r="R942" s="9" t="n"/>
      <c r="S942" s="9" t="n"/>
    </row>
    <row r="943">
      <c r="A943" s="9" t="n"/>
      <c r="B943" s="9" t="n"/>
      <c r="C943" s="30" t="n"/>
      <c r="D943" s="9">
        <f>IF($C943="","",YEAR($C943)&amp;"-"&amp;TEXT(MONTH($C943),"00"))</f>
        <v/>
      </c>
      <c r="E943" s="9" t="n"/>
      <c r="F943" s="9" t="n"/>
      <c r="G943" s="9" t="n"/>
      <c r="H943" s="24" t="n"/>
      <c r="I943" s="9" t="n"/>
      <c r="J943" s="24" t="n"/>
      <c r="K943" s="24" t="n"/>
      <c r="L943" s="24">
        <f>IF($H943="","",ROUND($H943*$J943-N($K943),2))</f>
        <v/>
      </c>
      <c r="M943" s="31" t="n"/>
      <c r="N943" s="24">
        <f>IF(OR($L943="",$M943=""),"",ROUND($L943-$L943/(1+$M943/100),2))</f>
        <v/>
      </c>
      <c r="O943" s="9" t="n"/>
      <c r="P943" s="9" t="n"/>
      <c r="Q943" s="9" t="n"/>
      <c r="R943" s="9" t="n"/>
      <c r="S943" s="9" t="n"/>
    </row>
    <row r="944">
      <c r="A944" s="9" t="n"/>
      <c r="B944" s="9" t="n"/>
      <c r="C944" s="30" t="n"/>
      <c r="D944" s="9">
        <f>IF($C944="","",YEAR($C944)&amp;"-"&amp;TEXT(MONTH($C944),"00"))</f>
        <v/>
      </c>
      <c r="E944" s="9" t="n"/>
      <c r="F944" s="9" t="n"/>
      <c r="G944" s="9" t="n"/>
      <c r="H944" s="24" t="n"/>
      <c r="I944" s="9" t="n"/>
      <c r="J944" s="24" t="n"/>
      <c r="K944" s="24" t="n"/>
      <c r="L944" s="24">
        <f>IF($H944="","",ROUND($H944*$J944-N($K944),2))</f>
        <v/>
      </c>
      <c r="M944" s="31" t="n"/>
      <c r="N944" s="24">
        <f>IF(OR($L944="",$M944=""),"",ROUND($L944-$L944/(1+$M944/100),2))</f>
        <v/>
      </c>
      <c r="O944" s="9" t="n"/>
      <c r="P944" s="9" t="n"/>
      <c r="Q944" s="9" t="n"/>
      <c r="R944" s="9" t="n"/>
      <c r="S944" s="9" t="n"/>
    </row>
    <row r="945">
      <c r="A945" s="9" t="n"/>
      <c r="B945" s="9" t="n"/>
      <c r="C945" s="30" t="n"/>
      <c r="D945" s="9">
        <f>IF($C945="","",YEAR($C945)&amp;"-"&amp;TEXT(MONTH($C945),"00"))</f>
        <v/>
      </c>
      <c r="E945" s="9" t="n"/>
      <c r="F945" s="9" t="n"/>
      <c r="G945" s="9" t="n"/>
      <c r="H945" s="24" t="n"/>
      <c r="I945" s="9" t="n"/>
      <c r="J945" s="24" t="n"/>
      <c r="K945" s="24" t="n"/>
      <c r="L945" s="24">
        <f>IF($H945="","",ROUND($H945*$J945-N($K945),2))</f>
        <v/>
      </c>
      <c r="M945" s="31" t="n"/>
      <c r="N945" s="24">
        <f>IF(OR($L945="",$M945=""),"",ROUND($L945-$L945/(1+$M945/100),2))</f>
        <v/>
      </c>
      <c r="O945" s="9" t="n"/>
      <c r="P945" s="9" t="n"/>
      <c r="Q945" s="9" t="n"/>
      <c r="R945" s="9" t="n"/>
      <c r="S945" s="9" t="n"/>
    </row>
    <row r="946">
      <c r="A946" s="9" t="n"/>
      <c r="B946" s="9" t="n"/>
      <c r="C946" s="30" t="n"/>
      <c r="D946" s="9">
        <f>IF($C946="","",YEAR($C946)&amp;"-"&amp;TEXT(MONTH($C946),"00"))</f>
        <v/>
      </c>
      <c r="E946" s="9" t="n"/>
      <c r="F946" s="9" t="n"/>
      <c r="G946" s="9" t="n"/>
      <c r="H946" s="24" t="n"/>
      <c r="I946" s="9" t="n"/>
      <c r="J946" s="24" t="n"/>
      <c r="K946" s="24" t="n"/>
      <c r="L946" s="24">
        <f>IF($H946="","",ROUND($H946*$J946-N($K946),2))</f>
        <v/>
      </c>
      <c r="M946" s="31" t="n"/>
      <c r="N946" s="24">
        <f>IF(OR($L946="",$M946=""),"",ROUND($L946-$L946/(1+$M946/100),2))</f>
        <v/>
      </c>
      <c r="O946" s="9" t="n"/>
      <c r="P946" s="9" t="n"/>
      <c r="Q946" s="9" t="n"/>
      <c r="R946" s="9" t="n"/>
      <c r="S946" s="9" t="n"/>
    </row>
    <row r="947">
      <c r="A947" s="9" t="n"/>
      <c r="B947" s="9" t="n"/>
      <c r="C947" s="30" t="n"/>
      <c r="D947" s="9">
        <f>IF($C947="","",YEAR($C947)&amp;"-"&amp;TEXT(MONTH($C947),"00"))</f>
        <v/>
      </c>
      <c r="E947" s="9" t="n"/>
      <c r="F947" s="9" t="n"/>
      <c r="G947" s="9" t="n"/>
      <c r="H947" s="24" t="n"/>
      <c r="I947" s="9" t="n"/>
      <c r="J947" s="24" t="n"/>
      <c r="K947" s="24" t="n"/>
      <c r="L947" s="24">
        <f>IF($H947="","",ROUND($H947*$J947-N($K947),2))</f>
        <v/>
      </c>
      <c r="M947" s="31" t="n"/>
      <c r="N947" s="24">
        <f>IF(OR($L947="",$M947=""),"",ROUND($L947-$L947/(1+$M947/100),2))</f>
        <v/>
      </c>
      <c r="O947" s="9" t="n"/>
      <c r="P947" s="9" t="n"/>
      <c r="Q947" s="9" t="n"/>
      <c r="R947" s="9" t="n"/>
      <c r="S947" s="9" t="n"/>
    </row>
    <row r="948">
      <c r="A948" s="9" t="n"/>
      <c r="B948" s="9" t="n"/>
      <c r="C948" s="30" t="n"/>
      <c r="D948" s="9">
        <f>IF($C948="","",YEAR($C948)&amp;"-"&amp;TEXT(MONTH($C948),"00"))</f>
        <v/>
      </c>
      <c r="E948" s="9" t="n"/>
      <c r="F948" s="9" t="n"/>
      <c r="G948" s="9" t="n"/>
      <c r="H948" s="24" t="n"/>
      <c r="I948" s="9" t="n"/>
      <c r="J948" s="24" t="n"/>
      <c r="K948" s="24" t="n"/>
      <c r="L948" s="24">
        <f>IF($H948="","",ROUND($H948*$J948-N($K948),2))</f>
        <v/>
      </c>
      <c r="M948" s="31" t="n"/>
      <c r="N948" s="24">
        <f>IF(OR($L948="",$M948=""),"",ROUND($L948-$L948/(1+$M948/100),2))</f>
        <v/>
      </c>
      <c r="O948" s="9" t="n"/>
      <c r="P948" s="9" t="n"/>
      <c r="Q948" s="9" t="n"/>
      <c r="R948" s="9" t="n"/>
      <c r="S948" s="9" t="n"/>
    </row>
    <row r="949">
      <c r="A949" s="9" t="n"/>
      <c r="B949" s="9" t="n"/>
      <c r="C949" s="30" t="n"/>
      <c r="D949" s="9">
        <f>IF($C949="","",YEAR($C949)&amp;"-"&amp;TEXT(MONTH($C949),"00"))</f>
        <v/>
      </c>
      <c r="E949" s="9" t="n"/>
      <c r="F949" s="9" t="n"/>
      <c r="G949" s="9" t="n"/>
      <c r="H949" s="24" t="n"/>
      <c r="I949" s="9" t="n"/>
      <c r="J949" s="24" t="n"/>
      <c r="K949" s="24" t="n"/>
      <c r="L949" s="24">
        <f>IF($H949="","",ROUND($H949*$J949-N($K949),2))</f>
        <v/>
      </c>
      <c r="M949" s="31" t="n"/>
      <c r="N949" s="24">
        <f>IF(OR($L949="",$M949=""),"",ROUND($L949-$L949/(1+$M949/100),2))</f>
        <v/>
      </c>
      <c r="O949" s="9" t="n"/>
      <c r="P949" s="9" t="n"/>
      <c r="Q949" s="9" t="n"/>
      <c r="R949" s="9" t="n"/>
      <c r="S949" s="9" t="n"/>
    </row>
    <row r="950">
      <c r="A950" s="9" t="n"/>
      <c r="B950" s="9" t="n"/>
      <c r="C950" s="30" t="n"/>
      <c r="D950" s="9">
        <f>IF($C950="","",YEAR($C950)&amp;"-"&amp;TEXT(MONTH($C950),"00"))</f>
        <v/>
      </c>
      <c r="E950" s="9" t="n"/>
      <c r="F950" s="9" t="n"/>
      <c r="G950" s="9" t="n"/>
      <c r="H950" s="24" t="n"/>
      <c r="I950" s="9" t="n"/>
      <c r="J950" s="24" t="n"/>
      <c r="K950" s="24" t="n"/>
      <c r="L950" s="24">
        <f>IF($H950="","",ROUND($H950*$J950-N($K950),2))</f>
        <v/>
      </c>
      <c r="M950" s="31" t="n"/>
      <c r="N950" s="24">
        <f>IF(OR($L950="",$M950=""),"",ROUND($L950-$L950/(1+$M950/100),2))</f>
        <v/>
      </c>
      <c r="O950" s="9" t="n"/>
      <c r="P950" s="9" t="n"/>
      <c r="Q950" s="9" t="n"/>
      <c r="R950" s="9" t="n"/>
      <c r="S950" s="9" t="n"/>
    </row>
    <row r="951">
      <c r="A951" s="9" t="n"/>
      <c r="B951" s="9" t="n"/>
      <c r="C951" s="30" t="n"/>
      <c r="D951" s="9">
        <f>IF($C951="","",YEAR($C951)&amp;"-"&amp;TEXT(MONTH($C951),"00"))</f>
        <v/>
      </c>
      <c r="E951" s="9" t="n"/>
      <c r="F951" s="9" t="n"/>
      <c r="G951" s="9" t="n"/>
      <c r="H951" s="24" t="n"/>
      <c r="I951" s="9" t="n"/>
      <c r="J951" s="24" t="n"/>
      <c r="K951" s="24" t="n"/>
      <c r="L951" s="24">
        <f>IF($H951="","",ROUND($H951*$J951-N($K951),2))</f>
        <v/>
      </c>
      <c r="M951" s="31" t="n"/>
      <c r="N951" s="24">
        <f>IF(OR($L951="",$M951=""),"",ROUND($L951-$L951/(1+$M951/100),2))</f>
        <v/>
      </c>
      <c r="O951" s="9" t="n"/>
      <c r="P951" s="9" t="n"/>
      <c r="Q951" s="9" t="n"/>
      <c r="R951" s="9" t="n"/>
      <c r="S951" s="9" t="n"/>
    </row>
    <row r="952">
      <c r="A952" s="9" t="n"/>
      <c r="B952" s="9" t="n"/>
      <c r="C952" s="30" t="n"/>
      <c r="D952" s="9">
        <f>IF($C952="","",YEAR($C952)&amp;"-"&amp;TEXT(MONTH($C952),"00"))</f>
        <v/>
      </c>
      <c r="E952" s="9" t="n"/>
      <c r="F952" s="9" t="n"/>
      <c r="G952" s="9" t="n"/>
      <c r="H952" s="24" t="n"/>
      <c r="I952" s="9" t="n"/>
      <c r="J952" s="24" t="n"/>
      <c r="K952" s="24" t="n"/>
      <c r="L952" s="24">
        <f>IF($H952="","",ROUND($H952*$J952-N($K952),2))</f>
        <v/>
      </c>
      <c r="M952" s="31" t="n"/>
      <c r="N952" s="24">
        <f>IF(OR($L952="",$M952=""),"",ROUND($L952-$L952/(1+$M952/100),2))</f>
        <v/>
      </c>
      <c r="O952" s="9" t="n"/>
      <c r="P952" s="9" t="n"/>
      <c r="Q952" s="9" t="n"/>
      <c r="R952" s="9" t="n"/>
      <c r="S952" s="9" t="n"/>
    </row>
    <row r="953">
      <c r="A953" s="9" t="n"/>
      <c r="B953" s="9" t="n"/>
      <c r="C953" s="30" t="n"/>
      <c r="D953" s="9">
        <f>IF($C953="","",YEAR($C953)&amp;"-"&amp;TEXT(MONTH($C953),"00"))</f>
        <v/>
      </c>
      <c r="E953" s="9" t="n"/>
      <c r="F953" s="9" t="n"/>
      <c r="G953" s="9" t="n"/>
      <c r="H953" s="24" t="n"/>
      <c r="I953" s="9" t="n"/>
      <c r="J953" s="24" t="n"/>
      <c r="K953" s="24" t="n"/>
      <c r="L953" s="24">
        <f>IF($H953="","",ROUND($H953*$J953-N($K953),2))</f>
        <v/>
      </c>
      <c r="M953" s="31" t="n"/>
      <c r="N953" s="24">
        <f>IF(OR($L953="",$M953=""),"",ROUND($L953-$L953/(1+$M953/100),2))</f>
        <v/>
      </c>
      <c r="O953" s="9" t="n"/>
      <c r="P953" s="9" t="n"/>
      <c r="Q953" s="9" t="n"/>
      <c r="R953" s="9" t="n"/>
      <c r="S953" s="9" t="n"/>
    </row>
    <row r="954">
      <c r="A954" s="9" t="n"/>
      <c r="B954" s="9" t="n"/>
      <c r="C954" s="30" t="n"/>
      <c r="D954" s="9">
        <f>IF($C954="","",YEAR($C954)&amp;"-"&amp;TEXT(MONTH($C954),"00"))</f>
        <v/>
      </c>
      <c r="E954" s="9" t="n"/>
      <c r="F954" s="9" t="n"/>
      <c r="G954" s="9" t="n"/>
      <c r="H954" s="24" t="n"/>
      <c r="I954" s="9" t="n"/>
      <c r="J954" s="24" t="n"/>
      <c r="K954" s="24" t="n"/>
      <c r="L954" s="24">
        <f>IF($H954="","",ROUND($H954*$J954-N($K954),2))</f>
        <v/>
      </c>
      <c r="M954" s="31" t="n"/>
      <c r="N954" s="24">
        <f>IF(OR($L954="",$M954=""),"",ROUND($L954-$L954/(1+$M954/100),2))</f>
        <v/>
      </c>
      <c r="O954" s="9" t="n"/>
      <c r="P954" s="9" t="n"/>
      <c r="Q954" s="9" t="n"/>
      <c r="R954" s="9" t="n"/>
      <c r="S954" s="9" t="n"/>
    </row>
    <row r="955">
      <c r="A955" s="9" t="n"/>
      <c r="B955" s="9" t="n"/>
      <c r="C955" s="30" t="n"/>
      <c r="D955" s="9">
        <f>IF($C955="","",YEAR($C955)&amp;"-"&amp;TEXT(MONTH($C955),"00"))</f>
        <v/>
      </c>
      <c r="E955" s="9" t="n"/>
      <c r="F955" s="9" t="n"/>
      <c r="G955" s="9" t="n"/>
      <c r="H955" s="24" t="n"/>
      <c r="I955" s="9" t="n"/>
      <c r="J955" s="24" t="n"/>
      <c r="K955" s="24" t="n"/>
      <c r="L955" s="24">
        <f>IF($H955="","",ROUND($H955*$J955-N($K955),2))</f>
        <v/>
      </c>
      <c r="M955" s="31" t="n"/>
      <c r="N955" s="24">
        <f>IF(OR($L955="",$M955=""),"",ROUND($L955-$L955/(1+$M955/100),2))</f>
        <v/>
      </c>
      <c r="O955" s="9" t="n"/>
      <c r="P955" s="9" t="n"/>
      <c r="Q955" s="9" t="n"/>
      <c r="R955" s="9" t="n"/>
      <c r="S955" s="9" t="n"/>
    </row>
    <row r="956">
      <c r="A956" s="9" t="n"/>
      <c r="B956" s="9" t="n"/>
      <c r="C956" s="30" t="n"/>
      <c r="D956" s="9">
        <f>IF($C956="","",YEAR($C956)&amp;"-"&amp;TEXT(MONTH($C956),"00"))</f>
        <v/>
      </c>
      <c r="E956" s="9" t="n"/>
      <c r="F956" s="9" t="n"/>
      <c r="G956" s="9" t="n"/>
      <c r="H956" s="24" t="n"/>
      <c r="I956" s="9" t="n"/>
      <c r="J956" s="24" t="n"/>
      <c r="K956" s="24" t="n"/>
      <c r="L956" s="24">
        <f>IF($H956="","",ROUND($H956*$J956-N($K956),2))</f>
        <v/>
      </c>
      <c r="M956" s="31" t="n"/>
      <c r="N956" s="24">
        <f>IF(OR($L956="",$M956=""),"",ROUND($L956-$L956/(1+$M956/100),2))</f>
        <v/>
      </c>
      <c r="O956" s="9" t="n"/>
      <c r="P956" s="9" t="n"/>
      <c r="Q956" s="9" t="n"/>
      <c r="R956" s="9" t="n"/>
      <c r="S956" s="9" t="n"/>
    </row>
    <row r="957">
      <c r="A957" s="9" t="n"/>
      <c r="B957" s="9" t="n"/>
      <c r="C957" s="30" t="n"/>
      <c r="D957" s="9">
        <f>IF($C957="","",YEAR($C957)&amp;"-"&amp;TEXT(MONTH($C957),"00"))</f>
        <v/>
      </c>
      <c r="E957" s="9" t="n"/>
      <c r="F957" s="9" t="n"/>
      <c r="G957" s="9" t="n"/>
      <c r="H957" s="24" t="n"/>
      <c r="I957" s="9" t="n"/>
      <c r="J957" s="24" t="n"/>
      <c r="K957" s="24" t="n"/>
      <c r="L957" s="24">
        <f>IF($H957="","",ROUND($H957*$J957-N($K957),2))</f>
        <v/>
      </c>
      <c r="M957" s="31" t="n"/>
      <c r="N957" s="24">
        <f>IF(OR($L957="",$M957=""),"",ROUND($L957-$L957/(1+$M957/100),2))</f>
        <v/>
      </c>
      <c r="O957" s="9" t="n"/>
      <c r="P957" s="9" t="n"/>
      <c r="Q957" s="9" t="n"/>
      <c r="R957" s="9" t="n"/>
      <c r="S957" s="9" t="n"/>
    </row>
    <row r="958">
      <c r="A958" s="9" t="n"/>
      <c r="B958" s="9" t="n"/>
      <c r="C958" s="30" t="n"/>
      <c r="D958" s="9">
        <f>IF($C958="","",YEAR($C958)&amp;"-"&amp;TEXT(MONTH($C958),"00"))</f>
        <v/>
      </c>
      <c r="E958" s="9" t="n"/>
      <c r="F958" s="9" t="n"/>
      <c r="G958" s="9" t="n"/>
      <c r="H958" s="24" t="n"/>
      <c r="I958" s="9" t="n"/>
      <c r="J958" s="24" t="n"/>
      <c r="K958" s="24" t="n"/>
      <c r="L958" s="24">
        <f>IF($H958="","",ROUND($H958*$J958-N($K958),2))</f>
        <v/>
      </c>
      <c r="M958" s="31" t="n"/>
      <c r="N958" s="24">
        <f>IF(OR($L958="",$M958=""),"",ROUND($L958-$L958/(1+$M958/100),2))</f>
        <v/>
      </c>
      <c r="O958" s="9" t="n"/>
      <c r="P958" s="9" t="n"/>
      <c r="Q958" s="9" t="n"/>
      <c r="R958" s="9" t="n"/>
      <c r="S958" s="9" t="n"/>
    </row>
    <row r="959">
      <c r="A959" s="9" t="n"/>
      <c r="B959" s="9" t="n"/>
      <c r="C959" s="30" t="n"/>
      <c r="D959" s="9">
        <f>IF($C959="","",YEAR($C959)&amp;"-"&amp;TEXT(MONTH($C959),"00"))</f>
        <v/>
      </c>
      <c r="E959" s="9" t="n"/>
      <c r="F959" s="9" t="n"/>
      <c r="G959" s="9" t="n"/>
      <c r="H959" s="24" t="n"/>
      <c r="I959" s="9" t="n"/>
      <c r="J959" s="24" t="n"/>
      <c r="K959" s="24" t="n"/>
      <c r="L959" s="24">
        <f>IF($H959="","",ROUND($H959*$J959-N($K959),2))</f>
        <v/>
      </c>
      <c r="M959" s="31" t="n"/>
      <c r="N959" s="24">
        <f>IF(OR($L959="",$M959=""),"",ROUND($L959-$L959/(1+$M959/100),2))</f>
        <v/>
      </c>
      <c r="O959" s="9" t="n"/>
      <c r="P959" s="9" t="n"/>
      <c r="Q959" s="9" t="n"/>
      <c r="R959" s="9" t="n"/>
      <c r="S959" s="9" t="n"/>
    </row>
    <row r="960">
      <c r="A960" s="9" t="n"/>
      <c r="B960" s="9" t="n"/>
      <c r="C960" s="30" t="n"/>
      <c r="D960" s="9">
        <f>IF($C960="","",YEAR($C960)&amp;"-"&amp;TEXT(MONTH($C960),"00"))</f>
        <v/>
      </c>
      <c r="E960" s="9" t="n"/>
      <c r="F960" s="9" t="n"/>
      <c r="G960" s="9" t="n"/>
      <c r="H960" s="24" t="n"/>
      <c r="I960" s="9" t="n"/>
      <c r="J960" s="24" t="n"/>
      <c r="K960" s="24" t="n"/>
      <c r="L960" s="24">
        <f>IF($H960="","",ROUND($H960*$J960-N($K960),2))</f>
        <v/>
      </c>
      <c r="M960" s="31" t="n"/>
      <c r="N960" s="24">
        <f>IF(OR($L960="",$M960=""),"",ROUND($L960-$L960/(1+$M960/100),2))</f>
        <v/>
      </c>
      <c r="O960" s="9" t="n"/>
      <c r="P960" s="9" t="n"/>
      <c r="Q960" s="9" t="n"/>
      <c r="R960" s="9" t="n"/>
      <c r="S960" s="9" t="n"/>
    </row>
    <row r="961">
      <c r="A961" s="9" t="n"/>
      <c r="B961" s="9" t="n"/>
      <c r="C961" s="30" t="n"/>
      <c r="D961" s="9">
        <f>IF($C961="","",YEAR($C961)&amp;"-"&amp;TEXT(MONTH($C961),"00"))</f>
        <v/>
      </c>
      <c r="E961" s="9" t="n"/>
      <c r="F961" s="9" t="n"/>
      <c r="G961" s="9" t="n"/>
      <c r="H961" s="24" t="n"/>
      <c r="I961" s="9" t="n"/>
      <c r="J961" s="24" t="n"/>
      <c r="K961" s="24" t="n"/>
      <c r="L961" s="24">
        <f>IF($H961="","",ROUND($H961*$J961-N($K961),2))</f>
        <v/>
      </c>
      <c r="M961" s="31" t="n"/>
      <c r="N961" s="24">
        <f>IF(OR($L961="",$M961=""),"",ROUND($L961-$L961/(1+$M961/100),2))</f>
        <v/>
      </c>
      <c r="O961" s="9" t="n"/>
      <c r="P961" s="9" t="n"/>
      <c r="Q961" s="9" t="n"/>
      <c r="R961" s="9" t="n"/>
      <c r="S961" s="9" t="n"/>
    </row>
    <row r="962">
      <c r="A962" s="9" t="n"/>
      <c r="B962" s="9" t="n"/>
      <c r="C962" s="30" t="n"/>
      <c r="D962" s="9">
        <f>IF($C962="","",YEAR($C962)&amp;"-"&amp;TEXT(MONTH($C962),"00"))</f>
        <v/>
      </c>
      <c r="E962" s="9" t="n"/>
      <c r="F962" s="9" t="n"/>
      <c r="G962" s="9" t="n"/>
      <c r="H962" s="24" t="n"/>
      <c r="I962" s="9" t="n"/>
      <c r="J962" s="24" t="n"/>
      <c r="K962" s="24" t="n"/>
      <c r="L962" s="24">
        <f>IF($H962="","",ROUND($H962*$J962-N($K962),2))</f>
        <v/>
      </c>
      <c r="M962" s="31" t="n"/>
      <c r="N962" s="24">
        <f>IF(OR($L962="",$M962=""),"",ROUND($L962-$L962/(1+$M962/100),2))</f>
        <v/>
      </c>
      <c r="O962" s="9" t="n"/>
      <c r="P962" s="9" t="n"/>
      <c r="Q962" s="9" t="n"/>
      <c r="R962" s="9" t="n"/>
      <c r="S962" s="9" t="n"/>
    </row>
    <row r="963">
      <c r="A963" s="9" t="n"/>
      <c r="B963" s="9" t="n"/>
      <c r="C963" s="30" t="n"/>
      <c r="D963" s="9">
        <f>IF($C963="","",YEAR($C963)&amp;"-"&amp;TEXT(MONTH($C963),"00"))</f>
        <v/>
      </c>
      <c r="E963" s="9" t="n"/>
      <c r="F963" s="9" t="n"/>
      <c r="G963" s="9" t="n"/>
      <c r="H963" s="24" t="n"/>
      <c r="I963" s="9" t="n"/>
      <c r="J963" s="24" t="n"/>
      <c r="K963" s="24" t="n"/>
      <c r="L963" s="24">
        <f>IF($H963="","",ROUND($H963*$J963-N($K963),2))</f>
        <v/>
      </c>
      <c r="M963" s="31" t="n"/>
      <c r="N963" s="24">
        <f>IF(OR($L963="",$M963=""),"",ROUND($L963-$L963/(1+$M963/100),2))</f>
        <v/>
      </c>
      <c r="O963" s="9" t="n"/>
      <c r="P963" s="9" t="n"/>
      <c r="Q963" s="9" t="n"/>
      <c r="R963" s="9" t="n"/>
      <c r="S963" s="9" t="n"/>
    </row>
    <row r="964">
      <c r="A964" s="9" t="n"/>
      <c r="B964" s="9" t="n"/>
      <c r="C964" s="30" t="n"/>
      <c r="D964" s="9">
        <f>IF($C964="","",YEAR($C964)&amp;"-"&amp;TEXT(MONTH($C964),"00"))</f>
        <v/>
      </c>
      <c r="E964" s="9" t="n"/>
      <c r="F964" s="9" t="n"/>
      <c r="G964" s="9" t="n"/>
      <c r="H964" s="24" t="n"/>
      <c r="I964" s="9" t="n"/>
      <c r="J964" s="24" t="n"/>
      <c r="K964" s="24" t="n"/>
      <c r="L964" s="24">
        <f>IF($H964="","",ROUND($H964*$J964-N($K964),2))</f>
        <v/>
      </c>
      <c r="M964" s="31" t="n"/>
      <c r="N964" s="24">
        <f>IF(OR($L964="",$M964=""),"",ROUND($L964-$L964/(1+$M964/100),2))</f>
        <v/>
      </c>
      <c r="O964" s="9" t="n"/>
      <c r="P964" s="9" t="n"/>
      <c r="Q964" s="9" t="n"/>
      <c r="R964" s="9" t="n"/>
      <c r="S964" s="9" t="n"/>
    </row>
    <row r="965">
      <c r="A965" s="9" t="n"/>
      <c r="B965" s="9" t="n"/>
      <c r="C965" s="30" t="n"/>
      <c r="D965" s="9">
        <f>IF($C965="","",YEAR($C965)&amp;"-"&amp;TEXT(MONTH($C965),"00"))</f>
        <v/>
      </c>
      <c r="E965" s="9" t="n"/>
      <c r="F965" s="9" t="n"/>
      <c r="G965" s="9" t="n"/>
      <c r="H965" s="24" t="n"/>
      <c r="I965" s="9" t="n"/>
      <c r="J965" s="24" t="n"/>
      <c r="K965" s="24" t="n"/>
      <c r="L965" s="24">
        <f>IF($H965="","",ROUND($H965*$J965-N($K965),2))</f>
        <v/>
      </c>
      <c r="M965" s="31" t="n"/>
      <c r="N965" s="24">
        <f>IF(OR($L965="",$M965=""),"",ROUND($L965-$L965/(1+$M965/100),2))</f>
        <v/>
      </c>
      <c r="O965" s="9" t="n"/>
      <c r="P965" s="9" t="n"/>
      <c r="Q965" s="9" t="n"/>
      <c r="R965" s="9" t="n"/>
      <c r="S965" s="9" t="n"/>
    </row>
    <row r="966">
      <c r="A966" s="9" t="n"/>
      <c r="B966" s="9" t="n"/>
      <c r="C966" s="30" t="n"/>
      <c r="D966" s="9">
        <f>IF($C966="","",YEAR($C966)&amp;"-"&amp;TEXT(MONTH($C966),"00"))</f>
        <v/>
      </c>
      <c r="E966" s="9" t="n"/>
      <c r="F966" s="9" t="n"/>
      <c r="G966" s="9" t="n"/>
      <c r="H966" s="24" t="n"/>
      <c r="I966" s="9" t="n"/>
      <c r="J966" s="24" t="n"/>
      <c r="K966" s="24" t="n"/>
      <c r="L966" s="24">
        <f>IF($H966="","",ROUND($H966*$J966-N($K966),2))</f>
        <v/>
      </c>
      <c r="M966" s="31" t="n"/>
      <c r="N966" s="24">
        <f>IF(OR($L966="",$M966=""),"",ROUND($L966-$L966/(1+$M966/100),2))</f>
        <v/>
      </c>
      <c r="O966" s="9" t="n"/>
      <c r="P966" s="9" t="n"/>
      <c r="Q966" s="9" t="n"/>
      <c r="R966" s="9" t="n"/>
      <c r="S966" s="9" t="n"/>
    </row>
    <row r="967">
      <c r="A967" s="9" t="n"/>
      <c r="B967" s="9" t="n"/>
      <c r="C967" s="30" t="n"/>
      <c r="D967" s="9">
        <f>IF($C967="","",YEAR($C967)&amp;"-"&amp;TEXT(MONTH($C967),"00"))</f>
        <v/>
      </c>
      <c r="E967" s="9" t="n"/>
      <c r="F967" s="9" t="n"/>
      <c r="G967" s="9" t="n"/>
      <c r="H967" s="24" t="n"/>
      <c r="I967" s="9" t="n"/>
      <c r="J967" s="24" t="n"/>
      <c r="K967" s="24" t="n"/>
      <c r="L967" s="24">
        <f>IF($H967="","",ROUND($H967*$J967-N($K967),2))</f>
        <v/>
      </c>
      <c r="M967" s="31" t="n"/>
      <c r="N967" s="24">
        <f>IF(OR($L967="",$M967=""),"",ROUND($L967-$L967/(1+$M967/100),2))</f>
        <v/>
      </c>
      <c r="O967" s="9" t="n"/>
      <c r="P967" s="9" t="n"/>
      <c r="Q967" s="9" t="n"/>
      <c r="R967" s="9" t="n"/>
      <c r="S967" s="9" t="n"/>
    </row>
    <row r="968">
      <c r="A968" s="9" t="n"/>
      <c r="B968" s="9" t="n"/>
      <c r="C968" s="30" t="n"/>
      <c r="D968" s="9">
        <f>IF($C968="","",YEAR($C968)&amp;"-"&amp;TEXT(MONTH($C968),"00"))</f>
        <v/>
      </c>
      <c r="E968" s="9" t="n"/>
      <c r="F968" s="9" t="n"/>
      <c r="G968" s="9" t="n"/>
      <c r="H968" s="24" t="n"/>
      <c r="I968" s="9" t="n"/>
      <c r="J968" s="24" t="n"/>
      <c r="K968" s="24" t="n"/>
      <c r="L968" s="24">
        <f>IF($H968="","",ROUND($H968*$J968-N($K968),2))</f>
        <v/>
      </c>
      <c r="M968" s="31" t="n"/>
      <c r="N968" s="24">
        <f>IF(OR($L968="",$M968=""),"",ROUND($L968-$L968/(1+$M968/100),2))</f>
        <v/>
      </c>
      <c r="O968" s="9" t="n"/>
      <c r="P968" s="9" t="n"/>
      <c r="Q968" s="9" t="n"/>
      <c r="R968" s="9" t="n"/>
      <c r="S968" s="9" t="n"/>
    </row>
    <row r="969">
      <c r="A969" s="9" t="n"/>
      <c r="B969" s="9" t="n"/>
      <c r="C969" s="30" t="n"/>
      <c r="D969" s="9">
        <f>IF($C969="","",YEAR($C969)&amp;"-"&amp;TEXT(MONTH($C969),"00"))</f>
        <v/>
      </c>
      <c r="E969" s="9" t="n"/>
      <c r="F969" s="9" t="n"/>
      <c r="G969" s="9" t="n"/>
      <c r="H969" s="24" t="n"/>
      <c r="I969" s="9" t="n"/>
      <c r="J969" s="24" t="n"/>
      <c r="K969" s="24" t="n"/>
      <c r="L969" s="24">
        <f>IF($H969="","",ROUND($H969*$J969-N($K969),2))</f>
        <v/>
      </c>
      <c r="M969" s="31" t="n"/>
      <c r="N969" s="24">
        <f>IF(OR($L969="",$M969=""),"",ROUND($L969-$L969/(1+$M969/100),2))</f>
        <v/>
      </c>
      <c r="O969" s="9" t="n"/>
      <c r="P969" s="9" t="n"/>
      <c r="Q969" s="9" t="n"/>
      <c r="R969" s="9" t="n"/>
      <c r="S969" s="9" t="n"/>
    </row>
    <row r="970">
      <c r="A970" s="9" t="n"/>
      <c r="B970" s="9" t="n"/>
      <c r="C970" s="30" t="n"/>
      <c r="D970" s="9">
        <f>IF($C970="","",YEAR($C970)&amp;"-"&amp;TEXT(MONTH($C970),"00"))</f>
        <v/>
      </c>
      <c r="E970" s="9" t="n"/>
      <c r="F970" s="9" t="n"/>
      <c r="G970" s="9" t="n"/>
      <c r="H970" s="24" t="n"/>
      <c r="I970" s="9" t="n"/>
      <c r="J970" s="24" t="n"/>
      <c r="K970" s="24" t="n"/>
      <c r="L970" s="24">
        <f>IF($H970="","",ROUND($H970*$J970-N($K970),2))</f>
        <v/>
      </c>
      <c r="M970" s="31" t="n"/>
      <c r="N970" s="24">
        <f>IF(OR($L970="",$M970=""),"",ROUND($L970-$L970/(1+$M970/100),2))</f>
        <v/>
      </c>
      <c r="O970" s="9" t="n"/>
      <c r="P970" s="9" t="n"/>
      <c r="Q970" s="9" t="n"/>
      <c r="R970" s="9" t="n"/>
      <c r="S970" s="9" t="n"/>
    </row>
    <row r="971">
      <c r="A971" s="9" t="n"/>
      <c r="B971" s="9" t="n"/>
      <c r="C971" s="30" t="n"/>
      <c r="D971" s="9">
        <f>IF($C971="","",YEAR($C971)&amp;"-"&amp;TEXT(MONTH($C971),"00"))</f>
        <v/>
      </c>
      <c r="E971" s="9" t="n"/>
      <c r="F971" s="9" t="n"/>
      <c r="G971" s="9" t="n"/>
      <c r="H971" s="24" t="n"/>
      <c r="I971" s="9" t="n"/>
      <c r="J971" s="24" t="n"/>
      <c r="K971" s="24" t="n"/>
      <c r="L971" s="24">
        <f>IF($H971="","",ROUND($H971*$J971-N($K971),2))</f>
        <v/>
      </c>
      <c r="M971" s="31" t="n"/>
      <c r="N971" s="24">
        <f>IF(OR($L971="",$M971=""),"",ROUND($L971-$L971/(1+$M971/100),2))</f>
        <v/>
      </c>
      <c r="O971" s="9" t="n"/>
      <c r="P971" s="9" t="n"/>
      <c r="Q971" s="9" t="n"/>
      <c r="R971" s="9" t="n"/>
      <c r="S971" s="9" t="n"/>
    </row>
    <row r="972">
      <c r="A972" s="9" t="n"/>
      <c r="B972" s="9" t="n"/>
      <c r="C972" s="30" t="n"/>
      <c r="D972" s="9">
        <f>IF($C972="","",YEAR($C972)&amp;"-"&amp;TEXT(MONTH($C972),"00"))</f>
        <v/>
      </c>
      <c r="E972" s="9" t="n"/>
      <c r="F972" s="9" t="n"/>
      <c r="G972" s="9" t="n"/>
      <c r="H972" s="24" t="n"/>
      <c r="I972" s="9" t="n"/>
      <c r="J972" s="24" t="n"/>
      <c r="K972" s="24" t="n"/>
      <c r="L972" s="24">
        <f>IF($H972="","",ROUND($H972*$J972-N($K972),2))</f>
        <v/>
      </c>
      <c r="M972" s="31" t="n"/>
      <c r="N972" s="24">
        <f>IF(OR($L972="",$M972=""),"",ROUND($L972-$L972/(1+$M972/100),2))</f>
        <v/>
      </c>
      <c r="O972" s="9" t="n"/>
      <c r="P972" s="9" t="n"/>
      <c r="Q972" s="9" t="n"/>
      <c r="R972" s="9" t="n"/>
      <c r="S972" s="9" t="n"/>
    </row>
    <row r="973">
      <c r="A973" s="9" t="n"/>
      <c r="B973" s="9" t="n"/>
      <c r="C973" s="30" t="n"/>
      <c r="D973" s="9">
        <f>IF($C973="","",YEAR($C973)&amp;"-"&amp;TEXT(MONTH($C973),"00"))</f>
        <v/>
      </c>
      <c r="E973" s="9" t="n"/>
      <c r="F973" s="9" t="n"/>
      <c r="G973" s="9" t="n"/>
      <c r="H973" s="24" t="n"/>
      <c r="I973" s="9" t="n"/>
      <c r="J973" s="24" t="n"/>
      <c r="K973" s="24" t="n"/>
      <c r="L973" s="24">
        <f>IF($H973="","",ROUND($H973*$J973-N($K973),2))</f>
        <v/>
      </c>
      <c r="M973" s="31" t="n"/>
      <c r="N973" s="24">
        <f>IF(OR($L973="",$M973=""),"",ROUND($L973-$L973/(1+$M973/100),2))</f>
        <v/>
      </c>
      <c r="O973" s="9" t="n"/>
      <c r="P973" s="9" t="n"/>
      <c r="Q973" s="9" t="n"/>
      <c r="R973" s="9" t="n"/>
      <c r="S973" s="9" t="n"/>
    </row>
    <row r="974">
      <c r="A974" s="9" t="n"/>
      <c r="B974" s="9" t="n"/>
      <c r="C974" s="30" t="n"/>
      <c r="D974" s="9">
        <f>IF($C974="","",YEAR($C974)&amp;"-"&amp;TEXT(MONTH($C974),"00"))</f>
        <v/>
      </c>
      <c r="E974" s="9" t="n"/>
      <c r="F974" s="9" t="n"/>
      <c r="G974" s="9" t="n"/>
      <c r="H974" s="24" t="n"/>
      <c r="I974" s="9" t="n"/>
      <c r="J974" s="24" t="n"/>
      <c r="K974" s="24" t="n"/>
      <c r="L974" s="24">
        <f>IF($H974="","",ROUND($H974*$J974-N($K974),2))</f>
        <v/>
      </c>
      <c r="M974" s="31" t="n"/>
      <c r="N974" s="24">
        <f>IF(OR($L974="",$M974=""),"",ROUND($L974-$L974/(1+$M974/100),2))</f>
        <v/>
      </c>
      <c r="O974" s="9" t="n"/>
      <c r="P974" s="9" t="n"/>
      <c r="Q974" s="9" t="n"/>
      <c r="R974" s="9" t="n"/>
      <c r="S974" s="9" t="n"/>
    </row>
    <row r="975">
      <c r="A975" s="9" t="n"/>
      <c r="B975" s="9" t="n"/>
      <c r="C975" s="30" t="n"/>
      <c r="D975" s="9">
        <f>IF($C975="","",YEAR($C975)&amp;"-"&amp;TEXT(MONTH($C975),"00"))</f>
        <v/>
      </c>
      <c r="E975" s="9" t="n"/>
      <c r="F975" s="9" t="n"/>
      <c r="G975" s="9" t="n"/>
      <c r="H975" s="24" t="n"/>
      <c r="I975" s="9" t="n"/>
      <c r="J975" s="24" t="n"/>
      <c r="K975" s="24" t="n"/>
      <c r="L975" s="24">
        <f>IF($H975="","",ROUND($H975*$J975-N($K975),2))</f>
        <v/>
      </c>
      <c r="M975" s="31" t="n"/>
      <c r="N975" s="24">
        <f>IF(OR($L975="",$M975=""),"",ROUND($L975-$L975/(1+$M975/100),2))</f>
        <v/>
      </c>
      <c r="O975" s="9" t="n"/>
      <c r="P975" s="9" t="n"/>
      <c r="Q975" s="9" t="n"/>
      <c r="R975" s="9" t="n"/>
      <c r="S975" s="9" t="n"/>
    </row>
    <row r="976">
      <c r="A976" s="9" t="n"/>
      <c r="B976" s="9" t="n"/>
      <c r="C976" s="30" t="n"/>
      <c r="D976" s="9">
        <f>IF($C976="","",YEAR($C976)&amp;"-"&amp;TEXT(MONTH($C976),"00"))</f>
        <v/>
      </c>
      <c r="E976" s="9" t="n"/>
      <c r="F976" s="9" t="n"/>
      <c r="G976" s="9" t="n"/>
      <c r="H976" s="24" t="n"/>
      <c r="I976" s="9" t="n"/>
      <c r="J976" s="24" t="n"/>
      <c r="K976" s="24" t="n"/>
      <c r="L976" s="24">
        <f>IF($H976="","",ROUND($H976*$J976-N($K976),2))</f>
        <v/>
      </c>
      <c r="M976" s="31" t="n"/>
      <c r="N976" s="24">
        <f>IF(OR($L976="",$M976=""),"",ROUND($L976-$L976/(1+$M976/100),2))</f>
        <v/>
      </c>
      <c r="O976" s="9" t="n"/>
      <c r="P976" s="9" t="n"/>
      <c r="Q976" s="9" t="n"/>
      <c r="R976" s="9" t="n"/>
      <c r="S976" s="9" t="n"/>
    </row>
    <row r="977">
      <c r="A977" s="9" t="n"/>
      <c r="B977" s="9" t="n"/>
      <c r="C977" s="30" t="n"/>
      <c r="D977" s="9">
        <f>IF($C977="","",YEAR($C977)&amp;"-"&amp;TEXT(MONTH($C977),"00"))</f>
        <v/>
      </c>
      <c r="E977" s="9" t="n"/>
      <c r="F977" s="9" t="n"/>
      <c r="G977" s="9" t="n"/>
      <c r="H977" s="24" t="n"/>
      <c r="I977" s="9" t="n"/>
      <c r="J977" s="24" t="n"/>
      <c r="K977" s="24" t="n"/>
      <c r="L977" s="24">
        <f>IF($H977="","",ROUND($H977*$J977-N($K977),2))</f>
        <v/>
      </c>
      <c r="M977" s="31" t="n"/>
      <c r="N977" s="24">
        <f>IF(OR($L977="",$M977=""),"",ROUND($L977-$L977/(1+$M977/100),2))</f>
        <v/>
      </c>
      <c r="O977" s="9" t="n"/>
      <c r="P977" s="9" t="n"/>
      <c r="Q977" s="9" t="n"/>
      <c r="R977" s="9" t="n"/>
      <c r="S977" s="9" t="n"/>
    </row>
    <row r="978">
      <c r="A978" s="9" t="n"/>
      <c r="B978" s="9" t="n"/>
      <c r="C978" s="30" t="n"/>
      <c r="D978" s="9">
        <f>IF($C978="","",YEAR($C978)&amp;"-"&amp;TEXT(MONTH($C978),"00"))</f>
        <v/>
      </c>
      <c r="E978" s="9" t="n"/>
      <c r="F978" s="9" t="n"/>
      <c r="G978" s="9" t="n"/>
      <c r="H978" s="24" t="n"/>
      <c r="I978" s="9" t="n"/>
      <c r="J978" s="24" t="n"/>
      <c r="K978" s="24" t="n"/>
      <c r="L978" s="24">
        <f>IF($H978="","",ROUND($H978*$J978-N($K978),2))</f>
        <v/>
      </c>
      <c r="M978" s="31" t="n"/>
      <c r="N978" s="24">
        <f>IF(OR($L978="",$M978=""),"",ROUND($L978-$L978/(1+$M978/100),2))</f>
        <v/>
      </c>
      <c r="O978" s="9" t="n"/>
      <c r="P978" s="9" t="n"/>
      <c r="Q978" s="9" t="n"/>
      <c r="R978" s="9" t="n"/>
      <c r="S978" s="9" t="n"/>
    </row>
    <row r="979">
      <c r="A979" s="9" t="n"/>
      <c r="B979" s="9" t="n"/>
      <c r="C979" s="30" t="n"/>
      <c r="D979" s="9">
        <f>IF($C979="","",YEAR($C979)&amp;"-"&amp;TEXT(MONTH($C979),"00"))</f>
        <v/>
      </c>
      <c r="E979" s="9" t="n"/>
      <c r="F979" s="9" t="n"/>
      <c r="G979" s="9" t="n"/>
      <c r="H979" s="24" t="n"/>
      <c r="I979" s="9" t="n"/>
      <c r="J979" s="24" t="n"/>
      <c r="K979" s="24" t="n"/>
      <c r="L979" s="24">
        <f>IF($H979="","",ROUND($H979*$J979-N($K979),2))</f>
        <v/>
      </c>
      <c r="M979" s="31" t="n"/>
      <c r="N979" s="24">
        <f>IF(OR($L979="",$M979=""),"",ROUND($L979-$L979/(1+$M979/100),2))</f>
        <v/>
      </c>
      <c r="O979" s="9" t="n"/>
      <c r="P979" s="9" t="n"/>
      <c r="Q979" s="9" t="n"/>
      <c r="R979" s="9" t="n"/>
      <c r="S979" s="9" t="n"/>
    </row>
    <row r="980">
      <c r="A980" s="9" t="n"/>
      <c r="B980" s="9" t="n"/>
      <c r="C980" s="30" t="n"/>
      <c r="D980" s="9">
        <f>IF($C980="","",YEAR($C980)&amp;"-"&amp;TEXT(MONTH($C980),"00"))</f>
        <v/>
      </c>
      <c r="E980" s="9" t="n"/>
      <c r="F980" s="9" t="n"/>
      <c r="G980" s="9" t="n"/>
      <c r="H980" s="24" t="n"/>
      <c r="I980" s="9" t="n"/>
      <c r="J980" s="24" t="n"/>
      <c r="K980" s="24" t="n"/>
      <c r="L980" s="24">
        <f>IF($H980="","",ROUND($H980*$J980-N($K980),2))</f>
        <v/>
      </c>
      <c r="M980" s="31" t="n"/>
      <c r="N980" s="24">
        <f>IF(OR($L980="",$M980=""),"",ROUND($L980-$L980/(1+$M980/100),2))</f>
        <v/>
      </c>
      <c r="O980" s="9" t="n"/>
      <c r="P980" s="9" t="n"/>
      <c r="Q980" s="9" t="n"/>
      <c r="R980" s="9" t="n"/>
      <c r="S980" s="9" t="n"/>
    </row>
    <row r="981">
      <c r="A981" s="9" t="n"/>
      <c r="B981" s="9" t="n"/>
      <c r="C981" s="30" t="n"/>
      <c r="D981" s="9">
        <f>IF($C981="","",YEAR($C981)&amp;"-"&amp;TEXT(MONTH($C981),"00"))</f>
        <v/>
      </c>
      <c r="E981" s="9" t="n"/>
      <c r="F981" s="9" t="n"/>
      <c r="G981" s="9" t="n"/>
      <c r="H981" s="24" t="n"/>
      <c r="I981" s="9" t="n"/>
      <c r="J981" s="24" t="n"/>
      <c r="K981" s="24" t="n"/>
      <c r="L981" s="24">
        <f>IF($H981="","",ROUND($H981*$J981-N($K981),2))</f>
        <v/>
      </c>
      <c r="M981" s="31" t="n"/>
      <c r="N981" s="24">
        <f>IF(OR($L981="",$M981=""),"",ROUND($L981-$L981/(1+$M981/100),2))</f>
        <v/>
      </c>
      <c r="O981" s="9" t="n"/>
      <c r="P981" s="9" t="n"/>
      <c r="Q981" s="9" t="n"/>
      <c r="R981" s="9" t="n"/>
      <c r="S981" s="9" t="n"/>
    </row>
    <row r="982">
      <c r="A982" s="9" t="n"/>
      <c r="B982" s="9" t="n"/>
      <c r="C982" s="30" t="n"/>
      <c r="D982" s="9">
        <f>IF($C982="","",YEAR($C982)&amp;"-"&amp;TEXT(MONTH($C982),"00"))</f>
        <v/>
      </c>
      <c r="E982" s="9" t="n"/>
      <c r="F982" s="9" t="n"/>
      <c r="G982" s="9" t="n"/>
      <c r="H982" s="24" t="n"/>
      <c r="I982" s="9" t="n"/>
      <c r="J982" s="24" t="n"/>
      <c r="K982" s="24" t="n"/>
      <c r="L982" s="24">
        <f>IF($H982="","",ROUND($H982*$J982-N($K982),2))</f>
        <v/>
      </c>
      <c r="M982" s="31" t="n"/>
      <c r="N982" s="24">
        <f>IF(OR($L982="",$M982=""),"",ROUND($L982-$L982/(1+$M982/100),2))</f>
        <v/>
      </c>
      <c r="O982" s="9" t="n"/>
      <c r="P982" s="9" t="n"/>
      <c r="Q982" s="9" t="n"/>
      <c r="R982" s="9" t="n"/>
      <c r="S982" s="9" t="n"/>
    </row>
    <row r="983">
      <c r="A983" s="9" t="n"/>
      <c r="B983" s="9" t="n"/>
      <c r="C983" s="30" t="n"/>
      <c r="D983" s="9">
        <f>IF($C983="","",YEAR($C983)&amp;"-"&amp;TEXT(MONTH($C983),"00"))</f>
        <v/>
      </c>
      <c r="E983" s="9" t="n"/>
      <c r="F983" s="9" t="n"/>
      <c r="G983" s="9" t="n"/>
      <c r="H983" s="24" t="n"/>
      <c r="I983" s="9" t="n"/>
      <c r="J983" s="24" t="n"/>
      <c r="K983" s="24" t="n"/>
      <c r="L983" s="24">
        <f>IF($H983="","",ROUND($H983*$J983-N($K983),2))</f>
        <v/>
      </c>
      <c r="M983" s="31" t="n"/>
      <c r="N983" s="24">
        <f>IF(OR($L983="",$M983=""),"",ROUND($L983-$L983/(1+$M983/100),2))</f>
        <v/>
      </c>
      <c r="O983" s="9" t="n"/>
      <c r="P983" s="9" t="n"/>
      <c r="Q983" s="9" t="n"/>
      <c r="R983" s="9" t="n"/>
      <c r="S983" s="9" t="n"/>
    </row>
    <row r="984">
      <c r="A984" s="9" t="n"/>
      <c r="B984" s="9" t="n"/>
      <c r="C984" s="30" t="n"/>
      <c r="D984" s="9">
        <f>IF($C984="","",YEAR($C984)&amp;"-"&amp;TEXT(MONTH($C984),"00"))</f>
        <v/>
      </c>
      <c r="E984" s="9" t="n"/>
      <c r="F984" s="9" t="n"/>
      <c r="G984" s="9" t="n"/>
      <c r="H984" s="24" t="n"/>
      <c r="I984" s="9" t="n"/>
      <c r="J984" s="24" t="n"/>
      <c r="K984" s="24" t="n"/>
      <c r="L984" s="24">
        <f>IF($H984="","",ROUND($H984*$J984-N($K984),2))</f>
        <v/>
      </c>
      <c r="M984" s="31" t="n"/>
      <c r="N984" s="24">
        <f>IF(OR($L984="",$M984=""),"",ROUND($L984-$L984/(1+$M984/100),2))</f>
        <v/>
      </c>
      <c r="O984" s="9" t="n"/>
      <c r="P984" s="9" t="n"/>
      <c r="Q984" s="9" t="n"/>
      <c r="R984" s="9" t="n"/>
      <c r="S984" s="9" t="n"/>
    </row>
    <row r="985">
      <c r="A985" s="9" t="n"/>
      <c r="B985" s="9" t="n"/>
      <c r="C985" s="30" t="n"/>
      <c r="D985" s="9">
        <f>IF($C985="","",YEAR($C985)&amp;"-"&amp;TEXT(MONTH($C985),"00"))</f>
        <v/>
      </c>
      <c r="E985" s="9" t="n"/>
      <c r="F985" s="9" t="n"/>
      <c r="G985" s="9" t="n"/>
      <c r="H985" s="24" t="n"/>
      <c r="I985" s="9" t="n"/>
      <c r="J985" s="24" t="n"/>
      <c r="K985" s="24" t="n"/>
      <c r="L985" s="24">
        <f>IF($H985="","",ROUND($H985*$J985-N($K985),2))</f>
        <v/>
      </c>
      <c r="M985" s="31" t="n"/>
      <c r="N985" s="24">
        <f>IF(OR($L985="",$M985=""),"",ROUND($L985-$L985/(1+$M985/100),2))</f>
        <v/>
      </c>
      <c r="O985" s="9" t="n"/>
      <c r="P985" s="9" t="n"/>
      <c r="Q985" s="9" t="n"/>
      <c r="R985" s="9" t="n"/>
      <c r="S985" s="9" t="n"/>
    </row>
    <row r="986">
      <c r="A986" s="9" t="n"/>
      <c r="B986" s="9" t="n"/>
      <c r="C986" s="30" t="n"/>
      <c r="D986" s="9">
        <f>IF($C986="","",YEAR($C986)&amp;"-"&amp;TEXT(MONTH($C986),"00"))</f>
        <v/>
      </c>
      <c r="E986" s="9" t="n"/>
      <c r="F986" s="9" t="n"/>
      <c r="G986" s="9" t="n"/>
      <c r="H986" s="24" t="n"/>
      <c r="I986" s="9" t="n"/>
      <c r="J986" s="24" t="n"/>
      <c r="K986" s="24" t="n"/>
      <c r="L986" s="24">
        <f>IF($H986="","",ROUND($H986*$J986-N($K986),2))</f>
        <v/>
      </c>
      <c r="M986" s="31" t="n"/>
      <c r="N986" s="24">
        <f>IF(OR($L986="",$M986=""),"",ROUND($L986-$L986/(1+$M986/100),2))</f>
        <v/>
      </c>
      <c r="O986" s="9" t="n"/>
      <c r="P986" s="9" t="n"/>
      <c r="Q986" s="9" t="n"/>
      <c r="R986" s="9" t="n"/>
      <c r="S986" s="9" t="n"/>
    </row>
    <row r="987">
      <c r="A987" s="9" t="n"/>
      <c r="B987" s="9" t="n"/>
      <c r="C987" s="30" t="n"/>
      <c r="D987" s="9">
        <f>IF($C987="","",YEAR($C987)&amp;"-"&amp;TEXT(MONTH($C987),"00"))</f>
        <v/>
      </c>
      <c r="E987" s="9" t="n"/>
      <c r="F987" s="9" t="n"/>
      <c r="G987" s="9" t="n"/>
      <c r="H987" s="24" t="n"/>
      <c r="I987" s="9" t="n"/>
      <c r="J987" s="24" t="n"/>
      <c r="K987" s="24" t="n"/>
      <c r="L987" s="24">
        <f>IF($H987="","",ROUND($H987*$J987-N($K987),2))</f>
        <v/>
      </c>
      <c r="M987" s="31" t="n"/>
      <c r="N987" s="24">
        <f>IF(OR($L987="",$M987=""),"",ROUND($L987-$L987/(1+$M987/100),2))</f>
        <v/>
      </c>
      <c r="O987" s="9" t="n"/>
      <c r="P987" s="9" t="n"/>
      <c r="Q987" s="9" t="n"/>
      <c r="R987" s="9" t="n"/>
      <c r="S987" s="9" t="n"/>
    </row>
    <row r="988">
      <c r="A988" s="9" t="n"/>
      <c r="B988" s="9" t="n"/>
      <c r="C988" s="30" t="n"/>
      <c r="D988" s="9">
        <f>IF($C988="","",YEAR($C988)&amp;"-"&amp;TEXT(MONTH($C988),"00"))</f>
        <v/>
      </c>
      <c r="E988" s="9" t="n"/>
      <c r="F988" s="9" t="n"/>
      <c r="G988" s="9" t="n"/>
      <c r="H988" s="24" t="n"/>
      <c r="I988" s="9" t="n"/>
      <c r="J988" s="24" t="n"/>
      <c r="K988" s="24" t="n"/>
      <c r="L988" s="24">
        <f>IF($H988="","",ROUND($H988*$J988-N($K988),2))</f>
        <v/>
      </c>
      <c r="M988" s="31" t="n"/>
      <c r="N988" s="24">
        <f>IF(OR($L988="",$M988=""),"",ROUND($L988-$L988/(1+$M988/100),2))</f>
        <v/>
      </c>
      <c r="O988" s="9" t="n"/>
      <c r="P988" s="9" t="n"/>
      <c r="Q988" s="9" t="n"/>
      <c r="R988" s="9" t="n"/>
      <c r="S988" s="9" t="n"/>
    </row>
    <row r="989">
      <c r="A989" s="9" t="n"/>
      <c r="B989" s="9" t="n"/>
      <c r="C989" s="30" t="n"/>
      <c r="D989" s="9">
        <f>IF($C989="","",YEAR($C989)&amp;"-"&amp;TEXT(MONTH($C989),"00"))</f>
        <v/>
      </c>
      <c r="E989" s="9" t="n"/>
      <c r="F989" s="9" t="n"/>
      <c r="G989" s="9" t="n"/>
      <c r="H989" s="24" t="n"/>
      <c r="I989" s="9" t="n"/>
      <c r="J989" s="24" t="n"/>
      <c r="K989" s="24" t="n"/>
      <c r="L989" s="24">
        <f>IF($H989="","",ROUND($H989*$J989-N($K989),2))</f>
        <v/>
      </c>
      <c r="M989" s="31" t="n"/>
      <c r="N989" s="24">
        <f>IF(OR($L989="",$M989=""),"",ROUND($L989-$L989/(1+$M989/100),2))</f>
        <v/>
      </c>
      <c r="O989" s="9" t="n"/>
      <c r="P989" s="9" t="n"/>
      <c r="Q989" s="9" t="n"/>
      <c r="R989" s="9" t="n"/>
      <c r="S989" s="9" t="n"/>
    </row>
    <row r="990">
      <c r="A990" s="9" t="n"/>
      <c r="B990" s="9" t="n"/>
      <c r="C990" s="30" t="n"/>
      <c r="D990" s="9">
        <f>IF($C990="","",YEAR($C990)&amp;"-"&amp;TEXT(MONTH($C990),"00"))</f>
        <v/>
      </c>
      <c r="E990" s="9" t="n"/>
      <c r="F990" s="9" t="n"/>
      <c r="G990" s="9" t="n"/>
      <c r="H990" s="24" t="n"/>
      <c r="I990" s="9" t="n"/>
      <c r="J990" s="24" t="n"/>
      <c r="K990" s="24" t="n"/>
      <c r="L990" s="24">
        <f>IF($H990="","",ROUND($H990*$J990-N($K990),2))</f>
        <v/>
      </c>
      <c r="M990" s="31" t="n"/>
      <c r="N990" s="24">
        <f>IF(OR($L990="",$M990=""),"",ROUND($L990-$L990/(1+$M990/100),2))</f>
        <v/>
      </c>
      <c r="O990" s="9" t="n"/>
      <c r="P990" s="9" t="n"/>
      <c r="Q990" s="9" t="n"/>
      <c r="R990" s="9" t="n"/>
      <c r="S990" s="9" t="n"/>
    </row>
    <row r="991">
      <c r="A991" s="9" t="n"/>
      <c r="B991" s="9" t="n"/>
      <c r="C991" s="30" t="n"/>
      <c r="D991" s="9">
        <f>IF($C991="","",YEAR($C991)&amp;"-"&amp;TEXT(MONTH($C991),"00"))</f>
        <v/>
      </c>
      <c r="E991" s="9" t="n"/>
      <c r="F991" s="9" t="n"/>
      <c r="G991" s="9" t="n"/>
      <c r="H991" s="24" t="n"/>
      <c r="I991" s="9" t="n"/>
      <c r="J991" s="24" t="n"/>
      <c r="K991" s="24" t="n"/>
      <c r="L991" s="24">
        <f>IF($H991="","",ROUND($H991*$J991-N($K991),2))</f>
        <v/>
      </c>
      <c r="M991" s="31" t="n"/>
      <c r="N991" s="24">
        <f>IF(OR($L991="",$M991=""),"",ROUND($L991-$L991/(1+$M991/100),2))</f>
        <v/>
      </c>
      <c r="O991" s="9" t="n"/>
      <c r="P991" s="9" t="n"/>
      <c r="Q991" s="9" t="n"/>
      <c r="R991" s="9" t="n"/>
      <c r="S991" s="9" t="n"/>
    </row>
    <row r="992">
      <c r="A992" s="9" t="n"/>
      <c r="B992" s="9" t="n"/>
      <c r="C992" s="30" t="n"/>
      <c r="D992" s="9">
        <f>IF($C992="","",YEAR($C992)&amp;"-"&amp;TEXT(MONTH($C992),"00"))</f>
        <v/>
      </c>
      <c r="E992" s="9" t="n"/>
      <c r="F992" s="9" t="n"/>
      <c r="G992" s="9" t="n"/>
      <c r="H992" s="24" t="n"/>
      <c r="I992" s="9" t="n"/>
      <c r="J992" s="24" t="n"/>
      <c r="K992" s="24" t="n"/>
      <c r="L992" s="24">
        <f>IF($H992="","",ROUND($H992*$J992-N($K992),2))</f>
        <v/>
      </c>
      <c r="M992" s="31" t="n"/>
      <c r="N992" s="24">
        <f>IF(OR($L992="",$M992=""),"",ROUND($L992-$L992/(1+$M992/100),2))</f>
        <v/>
      </c>
      <c r="O992" s="9" t="n"/>
      <c r="P992" s="9" t="n"/>
      <c r="Q992" s="9" t="n"/>
      <c r="R992" s="9" t="n"/>
      <c r="S992" s="9" t="n"/>
    </row>
    <row r="993">
      <c r="A993" s="9" t="n"/>
      <c r="B993" s="9" t="n"/>
      <c r="C993" s="30" t="n"/>
      <c r="D993" s="9">
        <f>IF($C993="","",YEAR($C993)&amp;"-"&amp;TEXT(MONTH($C993),"00"))</f>
        <v/>
      </c>
      <c r="E993" s="9" t="n"/>
      <c r="F993" s="9" t="n"/>
      <c r="G993" s="9" t="n"/>
      <c r="H993" s="24" t="n"/>
      <c r="I993" s="9" t="n"/>
      <c r="J993" s="24" t="n"/>
      <c r="K993" s="24" t="n"/>
      <c r="L993" s="24">
        <f>IF($H993="","",ROUND($H993*$J993-N($K993),2))</f>
        <v/>
      </c>
      <c r="M993" s="31" t="n"/>
      <c r="N993" s="24">
        <f>IF(OR($L993="",$M993=""),"",ROUND($L993-$L993/(1+$M993/100),2))</f>
        <v/>
      </c>
      <c r="O993" s="9" t="n"/>
      <c r="P993" s="9" t="n"/>
      <c r="Q993" s="9" t="n"/>
      <c r="R993" s="9" t="n"/>
      <c r="S993" s="9" t="n"/>
    </row>
    <row r="994">
      <c r="A994" s="9" t="n"/>
      <c r="B994" s="9" t="n"/>
      <c r="C994" s="30" t="n"/>
      <c r="D994" s="9">
        <f>IF($C994="","",YEAR($C994)&amp;"-"&amp;TEXT(MONTH($C994),"00"))</f>
        <v/>
      </c>
      <c r="E994" s="9" t="n"/>
      <c r="F994" s="9" t="n"/>
      <c r="G994" s="9" t="n"/>
      <c r="H994" s="24" t="n"/>
      <c r="I994" s="9" t="n"/>
      <c r="J994" s="24" t="n"/>
      <c r="K994" s="24" t="n"/>
      <c r="L994" s="24">
        <f>IF($H994="","",ROUND($H994*$J994-N($K994),2))</f>
        <v/>
      </c>
      <c r="M994" s="31" t="n"/>
      <c r="N994" s="24">
        <f>IF(OR($L994="",$M994=""),"",ROUND($L994-$L994/(1+$M994/100),2))</f>
        <v/>
      </c>
      <c r="O994" s="9" t="n"/>
      <c r="P994" s="9" t="n"/>
      <c r="Q994" s="9" t="n"/>
      <c r="R994" s="9" t="n"/>
      <c r="S994" s="9" t="n"/>
    </row>
    <row r="995">
      <c r="A995" s="9" t="n"/>
      <c r="B995" s="9" t="n"/>
      <c r="C995" s="30" t="n"/>
      <c r="D995" s="9">
        <f>IF($C995="","",YEAR($C995)&amp;"-"&amp;TEXT(MONTH($C995),"00"))</f>
        <v/>
      </c>
      <c r="E995" s="9" t="n"/>
      <c r="F995" s="9" t="n"/>
      <c r="G995" s="9" t="n"/>
      <c r="H995" s="24" t="n"/>
      <c r="I995" s="9" t="n"/>
      <c r="J995" s="24" t="n"/>
      <c r="K995" s="24" t="n"/>
      <c r="L995" s="24">
        <f>IF($H995="","",ROUND($H995*$J995-N($K995),2))</f>
        <v/>
      </c>
      <c r="M995" s="31" t="n"/>
      <c r="N995" s="24">
        <f>IF(OR($L995="",$M995=""),"",ROUND($L995-$L995/(1+$M995/100),2))</f>
        <v/>
      </c>
      <c r="O995" s="9" t="n"/>
      <c r="P995" s="9" t="n"/>
      <c r="Q995" s="9" t="n"/>
      <c r="R995" s="9" t="n"/>
      <c r="S995" s="9" t="n"/>
    </row>
    <row r="996">
      <c r="A996" s="9" t="n"/>
      <c r="B996" s="9" t="n"/>
      <c r="C996" s="30" t="n"/>
      <c r="D996" s="9">
        <f>IF($C996="","",YEAR($C996)&amp;"-"&amp;TEXT(MONTH($C996),"00"))</f>
        <v/>
      </c>
      <c r="E996" s="9" t="n"/>
      <c r="F996" s="9" t="n"/>
      <c r="G996" s="9" t="n"/>
      <c r="H996" s="24" t="n"/>
      <c r="I996" s="9" t="n"/>
      <c r="J996" s="24" t="n"/>
      <c r="K996" s="24" t="n"/>
      <c r="L996" s="24">
        <f>IF($H996="","",ROUND($H996*$J996-N($K996),2))</f>
        <v/>
      </c>
      <c r="M996" s="31" t="n"/>
      <c r="N996" s="24">
        <f>IF(OR($L996="",$M996=""),"",ROUND($L996-$L996/(1+$M996/100),2))</f>
        <v/>
      </c>
      <c r="O996" s="9" t="n"/>
      <c r="P996" s="9" t="n"/>
      <c r="Q996" s="9" t="n"/>
      <c r="R996" s="9" t="n"/>
      <c r="S996" s="9" t="n"/>
    </row>
    <row r="997">
      <c r="A997" s="9" t="n"/>
      <c r="B997" s="9" t="n"/>
      <c r="C997" s="30" t="n"/>
      <c r="D997" s="9">
        <f>IF($C997="","",YEAR($C997)&amp;"-"&amp;TEXT(MONTH($C997),"00"))</f>
        <v/>
      </c>
      <c r="E997" s="9" t="n"/>
      <c r="F997" s="9" t="n"/>
      <c r="G997" s="9" t="n"/>
      <c r="H997" s="24" t="n"/>
      <c r="I997" s="9" t="n"/>
      <c r="J997" s="24" t="n"/>
      <c r="K997" s="24" t="n"/>
      <c r="L997" s="24">
        <f>IF($H997="","",ROUND($H997*$J997-N($K997),2))</f>
        <v/>
      </c>
      <c r="M997" s="31" t="n"/>
      <c r="N997" s="24">
        <f>IF(OR($L997="",$M997=""),"",ROUND($L997-$L997/(1+$M997/100),2))</f>
        <v/>
      </c>
      <c r="O997" s="9" t="n"/>
      <c r="P997" s="9" t="n"/>
      <c r="Q997" s="9" t="n"/>
      <c r="R997" s="9" t="n"/>
      <c r="S997" s="9" t="n"/>
    </row>
    <row r="998">
      <c r="A998" s="9" t="n"/>
      <c r="B998" s="9" t="n"/>
      <c r="C998" s="30" t="n"/>
      <c r="D998" s="9">
        <f>IF($C998="","",YEAR($C998)&amp;"-"&amp;TEXT(MONTH($C998),"00"))</f>
        <v/>
      </c>
      <c r="E998" s="9" t="n"/>
      <c r="F998" s="9" t="n"/>
      <c r="G998" s="9" t="n"/>
      <c r="H998" s="24" t="n"/>
      <c r="I998" s="9" t="n"/>
      <c r="J998" s="24" t="n"/>
      <c r="K998" s="24" t="n"/>
      <c r="L998" s="24">
        <f>IF($H998="","",ROUND($H998*$J998-N($K998),2))</f>
        <v/>
      </c>
      <c r="M998" s="31" t="n"/>
      <c r="N998" s="24">
        <f>IF(OR($L998="",$M998=""),"",ROUND($L998-$L998/(1+$M998/100),2))</f>
        <v/>
      </c>
      <c r="O998" s="9" t="n"/>
      <c r="P998" s="9" t="n"/>
      <c r="Q998" s="9" t="n"/>
      <c r="R998" s="9" t="n"/>
      <c r="S998" s="9" t="n"/>
    </row>
    <row r="999">
      <c r="A999" s="9" t="n"/>
      <c r="B999" s="9" t="n"/>
      <c r="C999" s="30" t="n"/>
      <c r="D999" s="9">
        <f>IF($C999="","",YEAR($C999)&amp;"-"&amp;TEXT(MONTH($C999),"00"))</f>
        <v/>
      </c>
      <c r="E999" s="9" t="n"/>
      <c r="F999" s="9" t="n"/>
      <c r="G999" s="9" t="n"/>
      <c r="H999" s="24" t="n"/>
      <c r="I999" s="9" t="n"/>
      <c r="J999" s="24" t="n"/>
      <c r="K999" s="24" t="n"/>
      <c r="L999" s="24">
        <f>IF($H999="","",ROUND($H999*$J999-N($K999),2))</f>
        <v/>
      </c>
      <c r="M999" s="31" t="n"/>
      <c r="N999" s="24">
        <f>IF(OR($L999="",$M999=""),"",ROUND($L999-$L999/(1+$M999/100),2))</f>
        <v/>
      </c>
      <c r="O999" s="9" t="n"/>
      <c r="P999" s="9" t="n"/>
      <c r="Q999" s="9" t="n"/>
      <c r="R999" s="9" t="n"/>
      <c r="S999" s="9" t="n"/>
    </row>
    <row r="1000">
      <c r="A1000" s="9" t="n"/>
      <c r="B1000" s="9" t="n"/>
      <c r="C1000" s="30" t="n"/>
      <c r="D1000" s="9">
        <f>IF($C1000="","",YEAR($C1000)&amp;"-"&amp;TEXT(MONTH($C1000),"00"))</f>
        <v/>
      </c>
      <c r="E1000" s="9" t="n"/>
      <c r="F1000" s="9" t="n"/>
      <c r="G1000" s="9" t="n"/>
      <c r="H1000" s="24" t="n"/>
      <c r="I1000" s="9" t="n"/>
      <c r="J1000" s="24" t="n"/>
      <c r="K1000" s="24" t="n"/>
      <c r="L1000" s="24">
        <f>IF($H1000="","",ROUND($H1000*$J1000-N($K1000),2))</f>
        <v/>
      </c>
      <c r="M1000" s="31" t="n"/>
      <c r="N1000" s="24">
        <f>IF(OR($L1000="",$M1000=""),"",ROUND($L1000-$L1000/(1+$M1000/100),2))</f>
        <v/>
      </c>
      <c r="O1000" s="9" t="n"/>
      <c r="P1000" s="9" t="n"/>
      <c r="Q1000" s="9" t="n"/>
      <c r="R1000" s="9" t="n"/>
      <c r="S1000" s="9" t="n"/>
    </row>
  </sheetData>
  <autoFilter ref="A1:S1"/>
  <dataValidations count="4">
    <dataValidation sqref="F2:F5000" showDropDown="0" showInputMessage="0" showErrorMessage="0" allowBlank="1" type="list">
      <formula1>Listas!$A$2:$A$25</formula1>
    </dataValidation>
    <dataValidation sqref="O2:O5000" showDropDown="0" showInputMessage="0" showErrorMessage="0" allowBlank="1" type="list">
      <formula1>Listas!$B$2:$B$15</formula1>
    </dataValidation>
    <dataValidation sqref="I2:I5000" showDropDown="0" showInputMessage="0" showErrorMessage="0" allowBlank="1" type="list">
      <formula1>Listas!$C$2:$C$11</formula1>
    </dataValidation>
    <dataValidation sqref="P2:P5000" showDropDown="0" showInputMessage="0" showErrorMessage="0" allowBlank="1" type="list">
      <formula1>Listas!$D$2:$D$12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6" customWidth="1" min="5" max="5"/>
    <col width="12" customWidth="1" min="6" max="6"/>
    <col width="12" customWidth="1" min="7" max="7"/>
    <col width="15" customWidth="1" min="8" max="8"/>
    <col width="16" customWidth="1" min="9" max="9"/>
    <col width="9" customWidth="1" min="10" max="10"/>
    <col width="30" customWidth="1" min="11" max="11"/>
    <col width="30" customWidth="1" min="12" max="12"/>
    <col width="14" customWidth="1" min="13" max="13"/>
    <col width="70" customWidth="1" min="15" max="15"/>
  </cols>
  <sheetData>
    <row r="1" ht="30" customHeight="1">
      <c r="A1" s="8" t="inlineStr">
        <is>
          <t>ID ticket</t>
        </is>
      </c>
      <c r="B1" s="8" t="inlineStr">
        <is>
          <t>Fecha</t>
        </is>
      </c>
      <c r="C1" s="8" t="inlineStr">
        <is>
          <t>Comercio</t>
        </is>
      </c>
      <c r="D1" s="8" t="inlineStr">
        <is>
          <t>Total ticket</t>
        </is>
      </c>
      <c r="E1" s="8" t="inlineStr">
        <is>
          <t>Total registrado</t>
        </is>
      </c>
      <c r="F1" s="8" t="inlineStr">
        <is>
          <t>Diferencia</t>
        </is>
      </c>
      <c r="G1" s="8" t="inlineStr">
        <is>
          <t>Estado</t>
        </is>
      </c>
      <c r="H1" s="8" t="inlineStr">
        <is>
          <t>N. ticket</t>
        </is>
      </c>
      <c r="I1" s="8" t="inlineStr">
        <is>
          <t>Forma de pago</t>
        </is>
      </c>
      <c r="J1" s="8" t="inlineStr">
        <is>
          <t>Moneda</t>
        </is>
      </c>
      <c r="K1" s="8" t="inlineStr">
        <is>
          <t>Archivo escaneado</t>
        </is>
      </c>
      <c r="L1" s="8" t="inlineStr">
        <is>
          <t>Notas</t>
        </is>
      </c>
      <c r="M1" s="8" t="inlineStr">
        <is>
          <t>Duplicado</t>
        </is>
      </c>
      <c r="O1" s="19" t="inlineStr">
        <is>
          <t>Una fila por ticket. 'Total ticket' = lo que dice el papel; 'Total registrado' = suma de sus lineas en Compras. Verde = cuadra, rojo = REVISAR o DUPLICADO.</t>
        </is>
      </c>
    </row>
    <row r="2">
      <c r="A2" s="9" t="inlineStr">
        <is>
          <t>TK-0001</t>
        </is>
      </c>
      <c r="B2" s="30" t="n">
        <v>46307</v>
      </c>
      <c r="C2" s="9" t="inlineStr">
        <is>
          <t>Buenas Migas</t>
        </is>
      </c>
      <c r="D2" s="24" t="n">
        <v>18420</v>
      </c>
      <c r="E2" s="24">
        <f>IF($A2="","",ROUND(SUMIFS(Compras!$L$2:$L$5000,Compras!$A$2:$A$5000,$A2),2))</f>
        <v/>
      </c>
      <c r="F2" s="24">
        <f>IF($A2="","",ROUND($D2-$E2,2))</f>
        <v/>
      </c>
      <c r="G2" s="9">
        <f>IF($A2="","",IF(ABS($F2)&lt;=0.02,"OK","REVISAR"))</f>
        <v/>
      </c>
      <c r="H2" s="9" t="inlineStr">
        <is>
          <t>-</t>
        </is>
      </c>
      <c r="I2" s="9" t="inlineStr">
        <is>
          <t>Tarjeta debito</t>
        </is>
      </c>
      <c r="J2" s="9" t="inlineStr">
        <is>
          <t>ARS</t>
        </is>
      </c>
      <c r="K2" s="9" t="n"/>
      <c r="L2" s="9" t="inlineStr"/>
      <c r="M2" s="9">
        <f>IF($A2="","",IF(COUNTIFS($B$2:$B$1000,$B2,$C$2:$C$1000,$C2,$D$2:$D$1000,$D2,$H$2:$H$1000,$H2)&gt;1,"DUPLICADO",""))</f>
        <v/>
      </c>
    </row>
    <row r="3">
      <c r="A3" s="9" t="n"/>
      <c r="B3" s="30" t="n"/>
      <c r="C3" s="9" t="n"/>
      <c r="D3" s="24" t="n"/>
      <c r="E3" s="24">
        <f>IF($A3="","",ROUND(SUMIFS(Compras!$L$2:$L$5000,Compras!$A$2:$A$5000,$A3),2))</f>
        <v/>
      </c>
      <c r="F3" s="24">
        <f>IF($A3="","",ROUND($D3-$E3,2))</f>
        <v/>
      </c>
      <c r="G3" s="9">
        <f>IF($A3="","",IF(ABS($F3)&lt;=0.02,"OK","REVISAR"))</f>
        <v/>
      </c>
      <c r="H3" s="9" t="n"/>
      <c r="I3" s="9" t="n"/>
      <c r="J3" s="9" t="n"/>
      <c r="K3" s="9" t="n"/>
      <c r="L3" s="9" t="n"/>
      <c r="M3" s="9">
        <f>IF($A3="","",IF(COUNTIFS($B$2:$B$1000,$B3,$C$2:$C$1000,$C3,$D$2:$D$1000,$D3,$H$2:$H$1000,$H3)&gt;1,"DUPLICADO",""))</f>
        <v/>
      </c>
    </row>
    <row r="4">
      <c r="A4" s="9" t="n"/>
      <c r="B4" s="30" t="n"/>
      <c r="C4" s="9" t="n"/>
      <c r="D4" s="24" t="n"/>
      <c r="E4" s="24">
        <f>IF($A4="","",ROUND(SUMIFS(Compras!$L$2:$L$5000,Compras!$A$2:$A$5000,$A4),2))</f>
        <v/>
      </c>
      <c r="F4" s="24">
        <f>IF($A4="","",ROUND($D4-$E4,2))</f>
        <v/>
      </c>
      <c r="G4" s="9">
        <f>IF($A4="","",IF(ABS($F4)&lt;=0.02,"OK","REVISAR"))</f>
        <v/>
      </c>
      <c r="H4" s="9" t="n"/>
      <c r="I4" s="9" t="n"/>
      <c r="J4" s="9" t="n"/>
      <c r="K4" s="9" t="n"/>
      <c r="L4" s="9" t="n"/>
      <c r="M4" s="9">
        <f>IF($A4="","",IF(COUNTIFS($B$2:$B$1000,$B4,$C$2:$C$1000,$C4,$D$2:$D$1000,$D4,$H$2:$H$1000,$H4)&gt;1,"DUPLICADO",""))</f>
        <v/>
      </c>
    </row>
    <row r="5">
      <c r="A5" s="9" t="n"/>
      <c r="B5" s="30" t="n"/>
      <c r="C5" s="9" t="n"/>
      <c r="D5" s="24" t="n"/>
      <c r="E5" s="24">
        <f>IF($A5="","",ROUND(SUMIFS(Compras!$L$2:$L$5000,Compras!$A$2:$A$5000,$A5),2))</f>
        <v/>
      </c>
      <c r="F5" s="24">
        <f>IF($A5="","",ROUND($D5-$E5,2))</f>
        <v/>
      </c>
      <c r="G5" s="9">
        <f>IF($A5="","",IF(ABS($F5)&lt;=0.02,"OK","REVISAR"))</f>
        <v/>
      </c>
      <c r="H5" s="9" t="n"/>
      <c r="I5" s="9" t="n"/>
      <c r="J5" s="9" t="n"/>
      <c r="K5" s="9" t="n"/>
      <c r="L5" s="9" t="n"/>
      <c r="M5" s="9">
        <f>IF($A5="","",IF(COUNTIFS($B$2:$B$1000,$B5,$C$2:$C$1000,$C5,$D$2:$D$1000,$D5,$H$2:$H$1000,$H5)&gt;1,"DUPLICADO",""))</f>
        <v/>
      </c>
    </row>
    <row r="6">
      <c r="A6" s="9" t="n"/>
      <c r="B6" s="30" t="n"/>
      <c r="C6" s="9" t="n"/>
      <c r="D6" s="24" t="n"/>
      <c r="E6" s="24">
        <f>IF($A6="","",ROUND(SUMIFS(Compras!$L$2:$L$5000,Compras!$A$2:$A$5000,$A6),2))</f>
        <v/>
      </c>
      <c r="F6" s="24">
        <f>IF($A6="","",ROUND($D6-$E6,2))</f>
        <v/>
      </c>
      <c r="G6" s="9">
        <f>IF($A6="","",IF(ABS($F6)&lt;=0.02,"OK","REVISAR"))</f>
        <v/>
      </c>
      <c r="H6" s="9" t="n"/>
      <c r="I6" s="9" t="n"/>
      <c r="J6" s="9" t="n"/>
      <c r="K6" s="9" t="n"/>
      <c r="L6" s="9" t="n"/>
      <c r="M6" s="9">
        <f>IF($A6="","",IF(COUNTIFS($B$2:$B$1000,$B6,$C$2:$C$1000,$C6,$D$2:$D$1000,$D6,$H$2:$H$1000,$H6)&gt;1,"DUPLICADO",""))</f>
        <v/>
      </c>
    </row>
    <row r="7">
      <c r="A7" s="9" t="n"/>
      <c r="B7" s="30" t="n"/>
      <c r="C7" s="9" t="n"/>
      <c r="D7" s="24" t="n"/>
      <c r="E7" s="24">
        <f>IF($A7="","",ROUND(SUMIFS(Compras!$L$2:$L$5000,Compras!$A$2:$A$5000,$A7),2))</f>
        <v/>
      </c>
      <c r="F7" s="24">
        <f>IF($A7="","",ROUND($D7-$E7,2))</f>
        <v/>
      </c>
      <c r="G7" s="9">
        <f>IF($A7="","",IF(ABS($F7)&lt;=0.02,"OK","REVISAR"))</f>
        <v/>
      </c>
      <c r="H7" s="9" t="n"/>
      <c r="I7" s="9" t="n"/>
      <c r="J7" s="9" t="n"/>
      <c r="K7" s="9" t="n"/>
      <c r="L7" s="9" t="n"/>
      <c r="M7" s="9">
        <f>IF($A7="","",IF(COUNTIFS($B$2:$B$1000,$B7,$C$2:$C$1000,$C7,$D$2:$D$1000,$D7,$H$2:$H$1000,$H7)&gt;1,"DUPLICADO",""))</f>
        <v/>
      </c>
    </row>
    <row r="8">
      <c r="A8" s="9" t="n"/>
      <c r="B8" s="30" t="n"/>
      <c r="C8" s="9" t="n"/>
      <c r="D8" s="24" t="n"/>
      <c r="E8" s="24">
        <f>IF($A8="","",ROUND(SUMIFS(Compras!$L$2:$L$5000,Compras!$A$2:$A$5000,$A8),2))</f>
        <v/>
      </c>
      <c r="F8" s="24">
        <f>IF($A8="","",ROUND($D8-$E8,2))</f>
        <v/>
      </c>
      <c r="G8" s="9">
        <f>IF($A8="","",IF(ABS($F8)&lt;=0.02,"OK","REVISAR"))</f>
        <v/>
      </c>
      <c r="H8" s="9" t="n"/>
      <c r="I8" s="9" t="n"/>
      <c r="J8" s="9" t="n"/>
      <c r="K8" s="9" t="n"/>
      <c r="L8" s="9" t="n"/>
      <c r="M8" s="9">
        <f>IF($A8="","",IF(COUNTIFS($B$2:$B$1000,$B8,$C$2:$C$1000,$C8,$D$2:$D$1000,$D8,$H$2:$H$1000,$H8)&gt;1,"DUPLICADO",""))</f>
        <v/>
      </c>
    </row>
    <row r="9">
      <c r="A9" s="9" t="n"/>
      <c r="B9" s="30" t="n"/>
      <c r="C9" s="9" t="n"/>
      <c r="D9" s="24" t="n"/>
      <c r="E9" s="24">
        <f>IF($A9="","",ROUND(SUMIFS(Compras!$L$2:$L$5000,Compras!$A$2:$A$5000,$A9),2))</f>
        <v/>
      </c>
      <c r="F9" s="24">
        <f>IF($A9="","",ROUND($D9-$E9,2))</f>
        <v/>
      </c>
      <c r="G9" s="9">
        <f>IF($A9="","",IF(ABS($F9)&lt;=0.02,"OK","REVISAR"))</f>
        <v/>
      </c>
      <c r="H9" s="9" t="n"/>
      <c r="I9" s="9" t="n"/>
      <c r="J9" s="9" t="n"/>
      <c r="K9" s="9" t="n"/>
      <c r="L9" s="9" t="n"/>
      <c r="M9" s="9">
        <f>IF($A9="","",IF(COUNTIFS($B$2:$B$1000,$B9,$C$2:$C$1000,$C9,$D$2:$D$1000,$D9,$H$2:$H$1000,$H9)&gt;1,"DUPLICADO",""))</f>
        <v/>
      </c>
    </row>
    <row r="10">
      <c r="A10" s="9" t="n"/>
      <c r="B10" s="30" t="n"/>
      <c r="C10" s="9" t="n"/>
      <c r="D10" s="24" t="n"/>
      <c r="E10" s="24">
        <f>IF($A10="","",ROUND(SUMIFS(Compras!$L$2:$L$5000,Compras!$A$2:$A$5000,$A10),2))</f>
        <v/>
      </c>
      <c r="F10" s="24">
        <f>IF($A10="","",ROUND($D10-$E10,2))</f>
        <v/>
      </c>
      <c r="G10" s="9">
        <f>IF($A10="","",IF(ABS($F10)&lt;=0.02,"OK","REVISAR"))</f>
        <v/>
      </c>
      <c r="H10" s="9" t="n"/>
      <c r="I10" s="9" t="n"/>
      <c r="J10" s="9" t="n"/>
      <c r="K10" s="9" t="n"/>
      <c r="L10" s="9" t="n"/>
      <c r="M10" s="9">
        <f>IF($A10="","",IF(COUNTIFS($B$2:$B$1000,$B10,$C$2:$C$1000,$C10,$D$2:$D$1000,$D10,$H$2:$H$1000,$H10)&gt;1,"DUPLICADO",""))</f>
        <v/>
      </c>
    </row>
    <row r="11">
      <c r="A11" s="9" t="n"/>
      <c r="B11" s="30" t="n"/>
      <c r="C11" s="9" t="n"/>
      <c r="D11" s="24" t="n"/>
      <c r="E11" s="24">
        <f>IF($A11="","",ROUND(SUMIFS(Compras!$L$2:$L$5000,Compras!$A$2:$A$5000,$A11),2))</f>
        <v/>
      </c>
      <c r="F11" s="24">
        <f>IF($A11="","",ROUND($D11-$E11,2))</f>
        <v/>
      </c>
      <c r="G11" s="9">
        <f>IF($A11="","",IF(ABS($F11)&lt;=0.02,"OK","REVISAR"))</f>
        <v/>
      </c>
      <c r="H11" s="9" t="n"/>
      <c r="I11" s="9" t="n"/>
      <c r="J11" s="9" t="n"/>
      <c r="K11" s="9" t="n"/>
      <c r="L11" s="9" t="n"/>
      <c r="M11" s="9">
        <f>IF($A11="","",IF(COUNTIFS($B$2:$B$1000,$B11,$C$2:$C$1000,$C11,$D$2:$D$1000,$D11,$H$2:$H$1000,$H11)&gt;1,"DUPLICADO",""))</f>
        <v/>
      </c>
    </row>
    <row r="12">
      <c r="A12" s="9" t="n"/>
      <c r="B12" s="30" t="n"/>
      <c r="C12" s="9" t="n"/>
      <c r="D12" s="24" t="n"/>
      <c r="E12" s="24">
        <f>IF($A12="","",ROUND(SUMIFS(Compras!$L$2:$L$5000,Compras!$A$2:$A$5000,$A12),2))</f>
        <v/>
      </c>
      <c r="F12" s="24">
        <f>IF($A12="","",ROUND($D12-$E12,2))</f>
        <v/>
      </c>
      <c r="G12" s="9">
        <f>IF($A12="","",IF(ABS($F12)&lt;=0.02,"OK","REVISAR"))</f>
        <v/>
      </c>
      <c r="H12" s="9" t="n"/>
      <c r="I12" s="9" t="n"/>
      <c r="J12" s="9" t="n"/>
      <c r="K12" s="9" t="n"/>
      <c r="L12" s="9" t="n"/>
      <c r="M12" s="9">
        <f>IF($A12="","",IF(COUNTIFS($B$2:$B$1000,$B12,$C$2:$C$1000,$C12,$D$2:$D$1000,$D12,$H$2:$H$1000,$H12)&gt;1,"DUPLICADO",""))</f>
        <v/>
      </c>
    </row>
    <row r="13">
      <c r="A13" s="9" t="n"/>
      <c r="B13" s="30" t="n"/>
      <c r="C13" s="9" t="n"/>
      <c r="D13" s="24" t="n"/>
      <c r="E13" s="24">
        <f>IF($A13="","",ROUND(SUMIFS(Compras!$L$2:$L$5000,Compras!$A$2:$A$5000,$A13),2))</f>
        <v/>
      </c>
      <c r="F13" s="24">
        <f>IF($A13="","",ROUND($D13-$E13,2))</f>
        <v/>
      </c>
      <c r="G13" s="9">
        <f>IF($A13="","",IF(ABS($F13)&lt;=0.02,"OK","REVISAR"))</f>
        <v/>
      </c>
      <c r="H13" s="9" t="n"/>
      <c r="I13" s="9" t="n"/>
      <c r="J13" s="9" t="n"/>
      <c r="K13" s="9" t="n"/>
      <c r="L13" s="9" t="n"/>
      <c r="M13" s="9">
        <f>IF($A13="","",IF(COUNTIFS($B$2:$B$1000,$B13,$C$2:$C$1000,$C13,$D$2:$D$1000,$D13,$H$2:$H$1000,$H13)&gt;1,"DUPLICADO",""))</f>
        <v/>
      </c>
    </row>
    <row r="14">
      <c r="A14" s="9" t="n"/>
      <c r="B14" s="30" t="n"/>
      <c r="C14" s="9" t="n"/>
      <c r="D14" s="24" t="n"/>
      <c r="E14" s="24">
        <f>IF($A14="","",ROUND(SUMIFS(Compras!$L$2:$L$5000,Compras!$A$2:$A$5000,$A14),2))</f>
        <v/>
      </c>
      <c r="F14" s="24">
        <f>IF($A14="","",ROUND($D14-$E14,2))</f>
        <v/>
      </c>
      <c r="G14" s="9">
        <f>IF($A14="","",IF(ABS($F14)&lt;=0.02,"OK","REVISAR"))</f>
        <v/>
      </c>
      <c r="H14" s="9" t="n"/>
      <c r="I14" s="9" t="n"/>
      <c r="J14" s="9" t="n"/>
      <c r="K14" s="9" t="n"/>
      <c r="L14" s="9" t="n"/>
      <c r="M14" s="9">
        <f>IF($A14="","",IF(COUNTIFS($B$2:$B$1000,$B14,$C$2:$C$1000,$C14,$D$2:$D$1000,$D14,$H$2:$H$1000,$H14)&gt;1,"DUPLICADO",""))</f>
        <v/>
      </c>
    </row>
    <row r="15">
      <c r="A15" s="9" t="n"/>
      <c r="B15" s="30" t="n"/>
      <c r="C15" s="9" t="n"/>
      <c r="D15" s="24" t="n"/>
      <c r="E15" s="24">
        <f>IF($A15="","",ROUND(SUMIFS(Compras!$L$2:$L$5000,Compras!$A$2:$A$5000,$A15),2))</f>
        <v/>
      </c>
      <c r="F15" s="24">
        <f>IF($A15="","",ROUND($D15-$E15,2))</f>
        <v/>
      </c>
      <c r="G15" s="9">
        <f>IF($A15="","",IF(ABS($F15)&lt;=0.02,"OK","REVISAR"))</f>
        <v/>
      </c>
      <c r="H15" s="9" t="n"/>
      <c r="I15" s="9" t="n"/>
      <c r="J15" s="9" t="n"/>
      <c r="K15" s="9" t="n"/>
      <c r="L15" s="9" t="n"/>
      <c r="M15" s="9">
        <f>IF($A15="","",IF(COUNTIFS($B$2:$B$1000,$B15,$C$2:$C$1000,$C15,$D$2:$D$1000,$D15,$H$2:$H$1000,$H15)&gt;1,"DUPLICADO",""))</f>
        <v/>
      </c>
    </row>
    <row r="16">
      <c r="A16" s="9" t="n"/>
      <c r="B16" s="30" t="n"/>
      <c r="C16" s="9" t="n"/>
      <c r="D16" s="24" t="n"/>
      <c r="E16" s="24">
        <f>IF($A16="","",ROUND(SUMIFS(Compras!$L$2:$L$5000,Compras!$A$2:$A$5000,$A16),2))</f>
        <v/>
      </c>
      <c r="F16" s="24">
        <f>IF($A16="","",ROUND($D16-$E16,2))</f>
        <v/>
      </c>
      <c r="G16" s="9">
        <f>IF($A16="","",IF(ABS($F16)&lt;=0.02,"OK","REVISAR"))</f>
        <v/>
      </c>
      <c r="H16" s="9" t="n"/>
      <c r="I16" s="9" t="n"/>
      <c r="J16" s="9" t="n"/>
      <c r="K16" s="9" t="n"/>
      <c r="L16" s="9" t="n"/>
      <c r="M16" s="9">
        <f>IF($A16="","",IF(COUNTIFS($B$2:$B$1000,$B16,$C$2:$C$1000,$C16,$D$2:$D$1000,$D16,$H$2:$H$1000,$H16)&gt;1,"DUPLICADO",""))</f>
        <v/>
      </c>
    </row>
    <row r="17">
      <c r="A17" s="9" t="n"/>
      <c r="B17" s="30" t="n"/>
      <c r="C17" s="9" t="n"/>
      <c r="D17" s="24" t="n"/>
      <c r="E17" s="24">
        <f>IF($A17="","",ROUND(SUMIFS(Compras!$L$2:$L$5000,Compras!$A$2:$A$5000,$A17),2))</f>
        <v/>
      </c>
      <c r="F17" s="24">
        <f>IF($A17="","",ROUND($D17-$E17,2))</f>
        <v/>
      </c>
      <c r="G17" s="9">
        <f>IF($A17="","",IF(ABS($F17)&lt;=0.02,"OK","REVISAR"))</f>
        <v/>
      </c>
      <c r="H17" s="9" t="n"/>
      <c r="I17" s="9" t="n"/>
      <c r="J17" s="9" t="n"/>
      <c r="K17" s="9" t="n"/>
      <c r="L17" s="9" t="n"/>
      <c r="M17" s="9">
        <f>IF($A17="","",IF(COUNTIFS($B$2:$B$1000,$B17,$C$2:$C$1000,$C17,$D$2:$D$1000,$D17,$H$2:$H$1000,$H17)&gt;1,"DUPLICADO",""))</f>
        <v/>
      </c>
    </row>
    <row r="18">
      <c r="A18" s="9" t="n"/>
      <c r="B18" s="30" t="n"/>
      <c r="C18" s="9" t="n"/>
      <c r="D18" s="24" t="n"/>
      <c r="E18" s="24">
        <f>IF($A18="","",ROUND(SUMIFS(Compras!$L$2:$L$5000,Compras!$A$2:$A$5000,$A18),2))</f>
        <v/>
      </c>
      <c r="F18" s="24">
        <f>IF($A18="","",ROUND($D18-$E18,2))</f>
        <v/>
      </c>
      <c r="G18" s="9">
        <f>IF($A18="","",IF(ABS($F18)&lt;=0.02,"OK","REVISAR"))</f>
        <v/>
      </c>
      <c r="H18" s="9" t="n"/>
      <c r="I18" s="9" t="n"/>
      <c r="J18" s="9" t="n"/>
      <c r="K18" s="9" t="n"/>
      <c r="L18" s="9" t="n"/>
      <c r="M18" s="9">
        <f>IF($A18="","",IF(COUNTIFS($B$2:$B$1000,$B18,$C$2:$C$1000,$C18,$D$2:$D$1000,$D18,$H$2:$H$1000,$H18)&gt;1,"DUPLICADO",""))</f>
        <v/>
      </c>
    </row>
    <row r="19">
      <c r="A19" s="9" t="n"/>
      <c r="B19" s="30" t="n"/>
      <c r="C19" s="9" t="n"/>
      <c r="D19" s="24" t="n"/>
      <c r="E19" s="24">
        <f>IF($A19="","",ROUND(SUMIFS(Compras!$L$2:$L$5000,Compras!$A$2:$A$5000,$A19),2))</f>
        <v/>
      </c>
      <c r="F19" s="24">
        <f>IF($A19="","",ROUND($D19-$E19,2))</f>
        <v/>
      </c>
      <c r="G19" s="9">
        <f>IF($A19="","",IF(ABS($F19)&lt;=0.02,"OK","REVISAR"))</f>
        <v/>
      </c>
      <c r="H19" s="9" t="n"/>
      <c r="I19" s="9" t="n"/>
      <c r="J19" s="9" t="n"/>
      <c r="K19" s="9" t="n"/>
      <c r="L19" s="9" t="n"/>
      <c r="M19" s="9">
        <f>IF($A19="","",IF(COUNTIFS($B$2:$B$1000,$B19,$C$2:$C$1000,$C19,$D$2:$D$1000,$D19,$H$2:$H$1000,$H19)&gt;1,"DUPLICADO",""))</f>
        <v/>
      </c>
    </row>
    <row r="20">
      <c r="A20" s="9" t="n"/>
      <c r="B20" s="30" t="n"/>
      <c r="C20" s="9" t="n"/>
      <c r="D20" s="24" t="n"/>
      <c r="E20" s="24">
        <f>IF($A20="","",ROUND(SUMIFS(Compras!$L$2:$L$5000,Compras!$A$2:$A$5000,$A20),2))</f>
        <v/>
      </c>
      <c r="F20" s="24">
        <f>IF($A20="","",ROUND($D20-$E20,2))</f>
        <v/>
      </c>
      <c r="G20" s="9">
        <f>IF($A20="","",IF(ABS($F20)&lt;=0.02,"OK","REVISAR"))</f>
        <v/>
      </c>
      <c r="H20" s="9" t="n"/>
      <c r="I20" s="9" t="n"/>
      <c r="J20" s="9" t="n"/>
      <c r="K20" s="9" t="n"/>
      <c r="L20" s="9" t="n"/>
      <c r="M20" s="9">
        <f>IF($A20="","",IF(COUNTIFS($B$2:$B$1000,$B20,$C$2:$C$1000,$C20,$D$2:$D$1000,$D20,$H$2:$H$1000,$H20)&gt;1,"DUPLICADO",""))</f>
        <v/>
      </c>
    </row>
    <row r="21">
      <c r="A21" s="9" t="n"/>
      <c r="B21" s="30" t="n"/>
      <c r="C21" s="9" t="n"/>
      <c r="D21" s="24" t="n"/>
      <c r="E21" s="24">
        <f>IF($A21="","",ROUND(SUMIFS(Compras!$L$2:$L$5000,Compras!$A$2:$A$5000,$A21),2))</f>
        <v/>
      </c>
      <c r="F21" s="24">
        <f>IF($A21="","",ROUND($D21-$E21,2))</f>
        <v/>
      </c>
      <c r="G21" s="9">
        <f>IF($A21="","",IF(ABS($F21)&lt;=0.02,"OK","REVISAR"))</f>
        <v/>
      </c>
      <c r="H21" s="9" t="n"/>
      <c r="I21" s="9" t="n"/>
      <c r="J21" s="9" t="n"/>
      <c r="K21" s="9" t="n"/>
      <c r="L21" s="9" t="n"/>
      <c r="M21" s="9">
        <f>IF($A21="","",IF(COUNTIFS($B$2:$B$1000,$B21,$C$2:$C$1000,$C21,$D$2:$D$1000,$D21,$H$2:$H$1000,$H21)&gt;1,"DUPLICADO",""))</f>
        <v/>
      </c>
    </row>
    <row r="22">
      <c r="A22" s="9" t="n"/>
      <c r="B22" s="30" t="n"/>
      <c r="C22" s="9" t="n"/>
      <c r="D22" s="24" t="n"/>
      <c r="E22" s="24">
        <f>IF($A22="","",ROUND(SUMIFS(Compras!$L$2:$L$5000,Compras!$A$2:$A$5000,$A22),2))</f>
        <v/>
      </c>
      <c r="F22" s="24">
        <f>IF($A22="","",ROUND($D22-$E22,2))</f>
        <v/>
      </c>
      <c r="G22" s="9">
        <f>IF($A22="","",IF(ABS($F22)&lt;=0.02,"OK","REVISAR"))</f>
        <v/>
      </c>
      <c r="H22" s="9" t="n"/>
      <c r="I22" s="9" t="n"/>
      <c r="J22" s="9" t="n"/>
      <c r="K22" s="9" t="n"/>
      <c r="L22" s="9" t="n"/>
      <c r="M22" s="9">
        <f>IF($A22="","",IF(COUNTIFS($B$2:$B$1000,$B22,$C$2:$C$1000,$C22,$D$2:$D$1000,$D22,$H$2:$H$1000,$H22)&gt;1,"DUPLICADO",""))</f>
        <v/>
      </c>
    </row>
    <row r="23">
      <c r="A23" s="9" t="n"/>
      <c r="B23" s="30" t="n"/>
      <c r="C23" s="9" t="n"/>
      <c r="D23" s="24" t="n"/>
      <c r="E23" s="24">
        <f>IF($A23="","",ROUND(SUMIFS(Compras!$L$2:$L$5000,Compras!$A$2:$A$5000,$A23),2))</f>
        <v/>
      </c>
      <c r="F23" s="24">
        <f>IF($A23="","",ROUND($D23-$E23,2))</f>
        <v/>
      </c>
      <c r="G23" s="9">
        <f>IF($A23="","",IF(ABS($F23)&lt;=0.02,"OK","REVISAR"))</f>
        <v/>
      </c>
      <c r="H23" s="9" t="n"/>
      <c r="I23" s="9" t="n"/>
      <c r="J23" s="9" t="n"/>
      <c r="K23" s="9" t="n"/>
      <c r="L23" s="9" t="n"/>
      <c r="M23" s="9">
        <f>IF($A23="","",IF(COUNTIFS($B$2:$B$1000,$B23,$C$2:$C$1000,$C23,$D$2:$D$1000,$D23,$H$2:$H$1000,$H23)&gt;1,"DUPLICADO",""))</f>
        <v/>
      </c>
    </row>
    <row r="24">
      <c r="A24" s="9" t="n"/>
      <c r="B24" s="30" t="n"/>
      <c r="C24" s="9" t="n"/>
      <c r="D24" s="24" t="n"/>
      <c r="E24" s="24">
        <f>IF($A24="","",ROUND(SUMIFS(Compras!$L$2:$L$5000,Compras!$A$2:$A$5000,$A24),2))</f>
        <v/>
      </c>
      <c r="F24" s="24">
        <f>IF($A24="","",ROUND($D24-$E24,2))</f>
        <v/>
      </c>
      <c r="G24" s="9">
        <f>IF($A24="","",IF(ABS($F24)&lt;=0.02,"OK","REVISAR"))</f>
        <v/>
      </c>
      <c r="H24" s="9" t="n"/>
      <c r="I24" s="9" t="n"/>
      <c r="J24" s="9" t="n"/>
      <c r="K24" s="9" t="n"/>
      <c r="L24" s="9" t="n"/>
      <c r="M24" s="9">
        <f>IF($A24="","",IF(COUNTIFS($B$2:$B$1000,$B24,$C$2:$C$1000,$C24,$D$2:$D$1000,$D24,$H$2:$H$1000,$H24)&gt;1,"DUPLICADO",""))</f>
        <v/>
      </c>
    </row>
    <row r="25">
      <c r="A25" s="9" t="n"/>
      <c r="B25" s="30" t="n"/>
      <c r="C25" s="9" t="n"/>
      <c r="D25" s="24" t="n"/>
      <c r="E25" s="24">
        <f>IF($A25="","",ROUND(SUMIFS(Compras!$L$2:$L$5000,Compras!$A$2:$A$5000,$A25),2))</f>
        <v/>
      </c>
      <c r="F25" s="24">
        <f>IF($A25="","",ROUND($D25-$E25,2))</f>
        <v/>
      </c>
      <c r="G25" s="9">
        <f>IF($A25="","",IF(ABS($F25)&lt;=0.02,"OK","REVISAR"))</f>
        <v/>
      </c>
      <c r="H25" s="9" t="n"/>
      <c r="I25" s="9" t="n"/>
      <c r="J25" s="9" t="n"/>
      <c r="K25" s="9" t="n"/>
      <c r="L25" s="9" t="n"/>
      <c r="M25" s="9">
        <f>IF($A25="","",IF(COUNTIFS($B$2:$B$1000,$B25,$C$2:$C$1000,$C25,$D$2:$D$1000,$D25,$H$2:$H$1000,$H25)&gt;1,"DUPLICADO",""))</f>
        <v/>
      </c>
    </row>
    <row r="26">
      <c r="A26" s="9" t="n"/>
      <c r="B26" s="30" t="n"/>
      <c r="C26" s="9" t="n"/>
      <c r="D26" s="24" t="n"/>
      <c r="E26" s="24">
        <f>IF($A26="","",ROUND(SUMIFS(Compras!$L$2:$L$5000,Compras!$A$2:$A$5000,$A26),2))</f>
        <v/>
      </c>
      <c r="F26" s="24">
        <f>IF($A26="","",ROUND($D26-$E26,2))</f>
        <v/>
      </c>
      <c r="G26" s="9">
        <f>IF($A26="","",IF(ABS($F26)&lt;=0.02,"OK","REVISAR"))</f>
        <v/>
      </c>
      <c r="H26" s="9" t="n"/>
      <c r="I26" s="9" t="n"/>
      <c r="J26" s="9" t="n"/>
      <c r="K26" s="9" t="n"/>
      <c r="L26" s="9" t="n"/>
      <c r="M26" s="9">
        <f>IF($A26="","",IF(COUNTIFS($B$2:$B$1000,$B26,$C$2:$C$1000,$C26,$D$2:$D$1000,$D26,$H$2:$H$1000,$H26)&gt;1,"DUPLICADO",""))</f>
        <v/>
      </c>
    </row>
    <row r="27">
      <c r="A27" s="9" t="n"/>
      <c r="B27" s="30" t="n"/>
      <c r="C27" s="9" t="n"/>
      <c r="D27" s="24" t="n"/>
      <c r="E27" s="24">
        <f>IF($A27="","",ROUND(SUMIFS(Compras!$L$2:$L$5000,Compras!$A$2:$A$5000,$A27),2))</f>
        <v/>
      </c>
      <c r="F27" s="24">
        <f>IF($A27="","",ROUND($D27-$E27,2))</f>
        <v/>
      </c>
      <c r="G27" s="9">
        <f>IF($A27="","",IF(ABS($F27)&lt;=0.02,"OK","REVISAR"))</f>
        <v/>
      </c>
      <c r="H27" s="9" t="n"/>
      <c r="I27" s="9" t="n"/>
      <c r="J27" s="9" t="n"/>
      <c r="K27" s="9" t="n"/>
      <c r="L27" s="9" t="n"/>
      <c r="M27" s="9">
        <f>IF($A27="","",IF(COUNTIFS($B$2:$B$1000,$B27,$C$2:$C$1000,$C27,$D$2:$D$1000,$D27,$H$2:$H$1000,$H27)&gt;1,"DUPLICADO",""))</f>
        <v/>
      </c>
    </row>
    <row r="28">
      <c r="A28" s="9" t="n"/>
      <c r="B28" s="30" t="n"/>
      <c r="C28" s="9" t="n"/>
      <c r="D28" s="24" t="n"/>
      <c r="E28" s="24">
        <f>IF($A28="","",ROUND(SUMIFS(Compras!$L$2:$L$5000,Compras!$A$2:$A$5000,$A28),2))</f>
        <v/>
      </c>
      <c r="F28" s="24">
        <f>IF($A28="","",ROUND($D28-$E28,2))</f>
        <v/>
      </c>
      <c r="G28" s="9">
        <f>IF($A28="","",IF(ABS($F28)&lt;=0.02,"OK","REVISAR"))</f>
        <v/>
      </c>
      <c r="H28" s="9" t="n"/>
      <c r="I28" s="9" t="n"/>
      <c r="J28" s="9" t="n"/>
      <c r="K28" s="9" t="n"/>
      <c r="L28" s="9" t="n"/>
      <c r="M28" s="9">
        <f>IF($A28="","",IF(COUNTIFS($B$2:$B$1000,$B28,$C$2:$C$1000,$C28,$D$2:$D$1000,$D28,$H$2:$H$1000,$H28)&gt;1,"DUPLICADO",""))</f>
        <v/>
      </c>
    </row>
    <row r="29">
      <c r="A29" s="9" t="n"/>
      <c r="B29" s="30" t="n"/>
      <c r="C29" s="9" t="n"/>
      <c r="D29" s="24" t="n"/>
      <c r="E29" s="24">
        <f>IF($A29="","",ROUND(SUMIFS(Compras!$L$2:$L$5000,Compras!$A$2:$A$5000,$A29),2))</f>
        <v/>
      </c>
      <c r="F29" s="24">
        <f>IF($A29="","",ROUND($D29-$E29,2))</f>
        <v/>
      </c>
      <c r="G29" s="9">
        <f>IF($A29="","",IF(ABS($F29)&lt;=0.02,"OK","REVISAR"))</f>
        <v/>
      </c>
      <c r="H29" s="9" t="n"/>
      <c r="I29" s="9" t="n"/>
      <c r="J29" s="9" t="n"/>
      <c r="K29" s="9" t="n"/>
      <c r="L29" s="9" t="n"/>
      <c r="M29" s="9">
        <f>IF($A29="","",IF(COUNTIFS($B$2:$B$1000,$B29,$C$2:$C$1000,$C29,$D$2:$D$1000,$D29,$H$2:$H$1000,$H29)&gt;1,"DUPLICADO",""))</f>
        <v/>
      </c>
    </row>
    <row r="30">
      <c r="A30" s="9" t="n"/>
      <c r="B30" s="30" t="n"/>
      <c r="C30" s="9" t="n"/>
      <c r="D30" s="24" t="n"/>
      <c r="E30" s="24">
        <f>IF($A30="","",ROUND(SUMIFS(Compras!$L$2:$L$5000,Compras!$A$2:$A$5000,$A30),2))</f>
        <v/>
      </c>
      <c r="F30" s="24">
        <f>IF($A30="","",ROUND($D30-$E30,2))</f>
        <v/>
      </c>
      <c r="G30" s="9">
        <f>IF($A30="","",IF(ABS($F30)&lt;=0.02,"OK","REVISAR"))</f>
        <v/>
      </c>
      <c r="H30" s="9" t="n"/>
      <c r="I30" s="9" t="n"/>
      <c r="J30" s="9" t="n"/>
      <c r="K30" s="9" t="n"/>
      <c r="L30" s="9" t="n"/>
      <c r="M30" s="9">
        <f>IF($A30="","",IF(COUNTIFS($B$2:$B$1000,$B30,$C$2:$C$1000,$C30,$D$2:$D$1000,$D30,$H$2:$H$1000,$H30)&gt;1,"DUPLICADO",""))</f>
        <v/>
      </c>
    </row>
    <row r="31">
      <c r="A31" s="9" t="n"/>
      <c r="B31" s="30" t="n"/>
      <c r="C31" s="9" t="n"/>
      <c r="D31" s="24" t="n"/>
      <c r="E31" s="24">
        <f>IF($A31="","",ROUND(SUMIFS(Compras!$L$2:$L$5000,Compras!$A$2:$A$5000,$A31),2))</f>
        <v/>
      </c>
      <c r="F31" s="24">
        <f>IF($A31="","",ROUND($D31-$E31,2))</f>
        <v/>
      </c>
      <c r="G31" s="9">
        <f>IF($A31="","",IF(ABS($F31)&lt;=0.02,"OK","REVISAR"))</f>
        <v/>
      </c>
      <c r="H31" s="9" t="n"/>
      <c r="I31" s="9" t="n"/>
      <c r="J31" s="9" t="n"/>
      <c r="K31" s="9" t="n"/>
      <c r="L31" s="9" t="n"/>
      <c r="M31" s="9">
        <f>IF($A31="","",IF(COUNTIFS($B$2:$B$1000,$B31,$C$2:$C$1000,$C31,$D$2:$D$1000,$D31,$H$2:$H$1000,$H31)&gt;1,"DUPLICADO",""))</f>
        <v/>
      </c>
    </row>
    <row r="32">
      <c r="A32" s="9" t="n"/>
      <c r="B32" s="30" t="n"/>
      <c r="C32" s="9" t="n"/>
      <c r="D32" s="24" t="n"/>
      <c r="E32" s="24">
        <f>IF($A32="","",ROUND(SUMIFS(Compras!$L$2:$L$5000,Compras!$A$2:$A$5000,$A32),2))</f>
        <v/>
      </c>
      <c r="F32" s="24">
        <f>IF($A32="","",ROUND($D32-$E32,2))</f>
        <v/>
      </c>
      <c r="G32" s="9">
        <f>IF($A32="","",IF(ABS($F32)&lt;=0.02,"OK","REVISAR"))</f>
        <v/>
      </c>
      <c r="H32" s="9" t="n"/>
      <c r="I32" s="9" t="n"/>
      <c r="J32" s="9" t="n"/>
      <c r="K32" s="9" t="n"/>
      <c r="L32" s="9" t="n"/>
      <c r="M32" s="9">
        <f>IF($A32="","",IF(COUNTIFS($B$2:$B$1000,$B32,$C$2:$C$1000,$C32,$D$2:$D$1000,$D32,$H$2:$H$1000,$H32)&gt;1,"DUPLICADO",""))</f>
        <v/>
      </c>
    </row>
    <row r="33">
      <c r="A33" s="9" t="n"/>
      <c r="B33" s="30" t="n"/>
      <c r="C33" s="9" t="n"/>
      <c r="D33" s="24" t="n"/>
      <c r="E33" s="24">
        <f>IF($A33="","",ROUND(SUMIFS(Compras!$L$2:$L$5000,Compras!$A$2:$A$5000,$A33),2))</f>
        <v/>
      </c>
      <c r="F33" s="24">
        <f>IF($A33="","",ROUND($D33-$E33,2))</f>
        <v/>
      </c>
      <c r="G33" s="9">
        <f>IF($A33="","",IF(ABS($F33)&lt;=0.02,"OK","REVISAR"))</f>
        <v/>
      </c>
      <c r="H33" s="9" t="n"/>
      <c r="I33" s="9" t="n"/>
      <c r="J33" s="9" t="n"/>
      <c r="K33" s="9" t="n"/>
      <c r="L33" s="9" t="n"/>
      <c r="M33" s="9">
        <f>IF($A33="","",IF(COUNTIFS($B$2:$B$1000,$B33,$C$2:$C$1000,$C33,$D$2:$D$1000,$D33,$H$2:$H$1000,$H33)&gt;1,"DUPLICADO",""))</f>
        <v/>
      </c>
    </row>
    <row r="34">
      <c r="A34" s="9" t="n"/>
      <c r="B34" s="30" t="n"/>
      <c r="C34" s="9" t="n"/>
      <c r="D34" s="24" t="n"/>
      <c r="E34" s="24">
        <f>IF($A34="","",ROUND(SUMIFS(Compras!$L$2:$L$5000,Compras!$A$2:$A$5000,$A34),2))</f>
        <v/>
      </c>
      <c r="F34" s="24">
        <f>IF($A34="","",ROUND($D34-$E34,2))</f>
        <v/>
      </c>
      <c r="G34" s="9">
        <f>IF($A34="","",IF(ABS($F34)&lt;=0.02,"OK","REVISAR"))</f>
        <v/>
      </c>
      <c r="H34" s="9" t="n"/>
      <c r="I34" s="9" t="n"/>
      <c r="J34" s="9" t="n"/>
      <c r="K34" s="9" t="n"/>
      <c r="L34" s="9" t="n"/>
      <c r="M34" s="9">
        <f>IF($A34="","",IF(COUNTIFS($B$2:$B$1000,$B34,$C$2:$C$1000,$C34,$D$2:$D$1000,$D34,$H$2:$H$1000,$H34)&gt;1,"DUPLICADO",""))</f>
        <v/>
      </c>
    </row>
    <row r="35">
      <c r="A35" s="9" t="n"/>
      <c r="B35" s="30" t="n"/>
      <c r="C35" s="9" t="n"/>
      <c r="D35" s="24" t="n"/>
      <c r="E35" s="24">
        <f>IF($A35="","",ROUND(SUMIFS(Compras!$L$2:$L$5000,Compras!$A$2:$A$5000,$A35),2))</f>
        <v/>
      </c>
      <c r="F35" s="24">
        <f>IF($A35="","",ROUND($D35-$E35,2))</f>
        <v/>
      </c>
      <c r="G35" s="9">
        <f>IF($A35="","",IF(ABS($F35)&lt;=0.02,"OK","REVISAR"))</f>
        <v/>
      </c>
      <c r="H35" s="9" t="n"/>
      <c r="I35" s="9" t="n"/>
      <c r="J35" s="9" t="n"/>
      <c r="K35" s="9" t="n"/>
      <c r="L35" s="9" t="n"/>
      <c r="M35" s="9">
        <f>IF($A35="","",IF(COUNTIFS($B$2:$B$1000,$B35,$C$2:$C$1000,$C35,$D$2:$D$1000,$D35,$H$2:$H$1000,$H35)&gt;1,"DUPLICADO",""))</f>
        <v/>
      </c>
    </row>
    <row r="36">
      <c r="A36" s="9" t="n"/>
      <c r="B36" s="30" t="n"/>
      <c r="C36" s="9" t="n"/>
      <c r="D36" s="24" t="n"/>
      <c r="E36" s="24">
        <f>IF($A36="","",ROUND(SUMIFS(Compras!$L$2:$L$5000,Compras!$A$2:$A$5000,$A36),2))</f>
        <v/>
      </c>
      <c r="F36" s="24">
        <f>IF($A36="","",ROUND($D36-$E36,2))</f>
        <v/>
      </c>
      <c r="G36" s="9">
        <f>IF($A36="","",IF(ABS($F36)&lt;=0.02,"OK","REVISAR"))</f>
        <v/>
      </c>
      <c r="H36" s="9" t="n"/>
      <c r="I36" s="9" t="n"/>
      <c r="J36" s="9" t="n"/>
      <c r="K36" s="9" t="n"/>
      <c r="L36" s="9" t="n"/>
      <c r="M36" s="9">
        <f>IF($A36="","",IF(COUNTIFS($B$2:$B$1000,$B36,$C$2:$C$1000,$C36,$D$2:$D$1000,$D36,$H$2:$H$1000,$H36)&gt;1,"DUPLICADO",""))</f>
        <v/>
      </c>
    </row>
    <row r="37">
      <c r="A37" s="9" t="n"/>
      <c r="B37" s="30" t="n"/>
      <c r="C37" s="9" t="n"/>
      <c r="D37" s="24" t="n"/>
      <c r="E37" s="24">
        <f>IF($A37="","",ROUND(SUMIFS(Compras!$L$2:$L$5000,Compras!$A$2:$A$5000,$A37),2))</f>
        <v/>
      </c>
      <c r="F37" s="24">
        <f>IF($A37="","",ROUND($D37-$E37,2))</f>
        <v/>
      </c>
      <c r="G37" s="9">
        <f>IF($A37="","",IF(ABS($F37)&lt;=0.02,"OK","REVISAR"))</f>
        <v/>
      </c>
      <c r="H37" s="9" t="n"/>
      <c r="I37" s="9" t="n"/>
      <c r="J37" s="9" t="n"/>
      <c r="K37" s="9" t="n"/>
      <c r="L37" s="9" t="n"/>
      <c r="M37" s="9">
        <f>IF($A37="","",IF(COUNTIFS($B$2:$B$1000,$B37,$C$2:$C$1000,$C37,$D$2:$D$1000,$D37,$H$2:$H$1000,$H37)&gt;1,"DUPLICADO",""))</f>
        <v/>
      </c>
    </row>
    <row r="38">
      <c r="A38" s="9" t="n"/>
      <c r="B38" s="30" t="n"/>
      <c r="C38" s="9" t="n"/>
      <c r="D38" s="24" t="n"/>
      <c r="E38" s="24">
        <f>IF($A38="","",ROUND(SUMIFS(Compras!$L$2:$L$5000,Compras!$A$2:$A$5000,$A38),2))</f>
        <v/>
      </c>
      <c r="F38" s="24">
        <f>IF($A38="","",ROUND($D38-$E38,2))</f>
        <v/>
      </c>
      <c r="G38" s="9">
        <f>IF($A38="","",IF(ABS($F38)&lt;=0.02,"OK","REVISAR"))</f>
        <v/>
      </c>
      <c r="H38" s="9" t="n"/>
      <c r="I38" s="9" t="n"/>
      <c r="J38" s="9" t="n"/>
      <c r="K38" s="9" t="n"/>
      <c r="L38" s="9" t="n"/>
      <c r="M38" s="9">
        <f>IF($A38="","",IF(COUNTIFS($B$2:$B$1000,$B38,$C$2:$C$1000,$C38,$D$2:$D$1000,$D38,$H$2:$H$1000,$H38)&gt;1,"DUPLICADO",""))</f>
        <v/>
      </c>
    </row>
    <row r="39">
      <c r="A39" s="9" t="n"/>
      <c r="B39" s="30" t="n"/>
      <c r="C39" s="9" t="n"/>
      <c r="D39" s="24" t="n"/>
      <c r="E39" s="24">
        <f>IF($A39="","",ROUND(SUMIFS(Compras!$L$2:$L$5000,Compras!$A$2:$A$5000,$A39),2))</f>
        <v/>
      </c>
      <c r="F39" s="24">
        <f>IF($A39="","",ROUND($D39-$E39,2))</f>
        <v/>
      </c>
      <c r="G39" s="9">
        <f>IF($A39="","",IF(ABS($F39)&lt;=0.02,"OK","REVISAR"))</f>
        <v/>
      </c>
      <c r="H39" s="9" t="n"/>
      <c r="I39" s="9" t="n"/>
      <c r="J39" s="9" t="n"/>
      <c r="K39" s="9" t="n"/>
      <c r="L39" s="9" t="n"/>
      <c r="M39" s="9">
        <f>IF($A39="","",IF(COUNTIFS($B$2:$B$1000,$B39,$C$2:$C$1000,$C39,$D$2:$D$1000,$D39,$H$2:$H$1000,$H39)&gt;1,"DUPLICADO",""))</f>
        <v/>
      </c>
    </row>
    <row r="40">
      <c r="A40" s="9" t="n"/>
      <c r="B40" s="30" t="n"/>
      <c r="C40" s="9" t="n"/>
      <c r="D40" s="24" t="n"/>
      <c r="E40" s="24">
        <f>IF($A40="","",ROUND(SUMIFS(Compras!$L$2:$L$5000,Compras!$A$2:$A$5000,$A40),2))</f>
        <v/>
      </c>
      <c r="F40" s="24">
        <f>IF($A40="","",ROUND($D40-$E40,2))</f>
        <v/>
      </c>
      <c r="G40" s="9">
        <f>IF($A40="","",IF(ABS($F40)&lt;=0.02,"OK","REVISAR"))</f>
        <v/>
      </c>
      <c r="H40" s="9" t="n"/>
      <c r="I40" s="9" t="n"/>
      <c r="J40" s="9" t="n"/>
      <c r="K40" s="9" t="n"/>
      <c r="L40" s="9" t="n"/>
      <c r="M40" s="9">
        <f>IF($A40="","",IF(COUNTIFS($B$2:$B$1000,$B40,$C$2:$C$1000,$C40,$D$2:$D$1000,$D40,$H$2:$H$1000,$H40)&gt;1,"DUPLICADO",""))</f>
        <v/>
      </c>
    </row>
    <row r="41">
      <c r="A41" s="9" t="n"/>
      <c r="B41" s="30" t="n"/>
      <c r="C41" s="9" t="n"/>
      <c r="D41" s="24" t="n"/>
      <c r="E41" s="24">
        <f>IF($A41="","",ROUND(SUMIFS(Compras!$L$2:$L$5000,Compras!$A$2:$A$5000,$A41),2))</f>
        <v/>
      </c>
      <c r="F41" s="24">
        <f>IF($A41="","",ROUND($D41-$E41,2))</f>
        <v/>
      </c>
      <c r="G41" s="9">
        <f>IF($A41="","",IF(ABS($F41)&lt;=0.02,"OK","REVISAR"))</f>
        <v/>
      </c>
      <c r="H41" s="9" t="n"/>
      <c r="I41" s="9" t="n"/>
      <c r="J41" s="9" t="n"/>
      <c r="K41" s="9" t="n"/>
      <c r="L41" s="9" t="n"/>
      <c r="M41" s="9">
        <f>IF($A41="","",IF(COUNTIFS($B$2:$B$1000,$B41,$C$2:$C$1000,$C41,$D$2:$D$1000,$D41,$H$2:$H$1000,$H41)&gt;1,"DUPLICADO",""))</f>
        <v/>
      </c>
    </row>
    <row r="42">
      <c r="A42" s="9" t="n"/>
      <c r="B42" s="30" t="n"/>
      <c r="C42" s="9" t="n"/>
      <c r="D42" s="24" t="n"/>
      <c r="E42" s="24">
        <f>IF($A42="","",ROUND(SUMIFS(Compras!$L$2:$L$5000,Compras!$A$2:$A$5000,$A42),2))</f>
        <v/>
      </c>
      <c r="F42" s="24">
        <f>IF($A42="","",ROUND($D42-$E42,2))</f>
        <v/>
      </c>
      <c r="G42" s="9">
        <f>IF($A42="","",IF(ABS($F42)&lt;=0.02,"OK","REVISAR"))</f>
        <v/>
      </c>
      <c r="H42" s="9" t="n"/>
      <c r="I42" s="9" t="n"/>
      <c r="J42" s="9" t="n"/>
      <c r="K42" s="9" t="n"/>
      <c r="L42" s="9" t="n"/>
      <c r="M42" s="9">
        <f>IF($A42="","",IF(COUNTIFS($B$2:$B$1000,$B42,$C$2:$C$1000,$C42,$D$2:$D$1000,$D42,$H$2:$H$1000,$H42)&gt;1,"DUPLICADO",""))</f>
        <v/>
      </c>
    </row>
    <row r="43">
      <c r="A43" s="9" t="n"/>
      <c r="B43" s="30" t="n"/>
      <c r="C43" s="9" t="n"/>
      <c r="D43" s="24" t="n"/>
      <c r="E43" s="24">
        <f>IF($A43="","",ROUND(SUMIFS(Compras!$L$2:$L$5000,Compras!$A$2:$A$5000,$A43),2))</f>
        <v/>
      </c>
      <c r="F43" s="24">
        <f>IF($A43="","",ROUND($D43-$E43,2))</f>
        <v/>
      </c>
      <c r="G43" s="9">
        <f>IF($A43="","",IF(ABS($F43)&lt;=0.02,"OK","REVISAR"))</f>
        <v/>
      </c>
      <c r="H43" s="9" t="n"/>
      <c r="I43" s="9" t="n"/>
      <c r="J43" s="9" t="n"/>
      <c r="K43" s="9" t="n"/>
      <c r="L43" s="9" t="n"/>
      <c r="M43" s="9">
        <f>IF($A43="","",IF(COUNTIFS($B$2:$B$1000,$B43,$C$2:$C$1000,$C43,$D$2:$D$1000,$D43,$H$2:$H$1000,$H43)&gt;1,"DUPLICADO",""))</f>
        <v/>
      </c>
    </row>
    <row r="44">
      <c r="A44" s="9" t="n"/>
      <c r="B44" s="30" t="n"/>
      <c r="C44" s="9" t="n"/>
      <c r="D44" s="24" t="n"/>
      <c r="E44" s="24">
        <f>IF($A44="","",ROUND(SUMIFS(Compras!$L$2:$L$5000,Compras!$A$2:$A$5000,$A44),2))</f>
        <v/>
      </c>
      <c r="F44" s="24">
        <f>IF($A44="","",ROUND($D44-$E44,2))</f>
        <v/>
      </c>
      <c r="G44" s="9">
        <f>IF($A44="","",IF(ABS($F44)&lt;=0.02,"OK","REVISAR"))</f>
        <v/>
      </c>
      <c r="H44" s="9" t="n"/>
      <c r="I44" s="9" t="n"/>
      <c r="J44" s="9" t="n"/>
      <c r="K44" s="9" t="n"/>
      <c r="L44" s="9" t="n"/>
      <c r="M44" s="9">
        <f>IF($A44="","",IF(COUNTIFS($B$2:$B$1000,$B44,$C$2:$C$1000,$C44,$D$2:$D$1000,$D44,$H$2:$H$1000,$H44)&gt;1,"DUPLICADO",""))</f>
        <v/>
      </c>
    </row>
    <row r="45">
      <c r="A45" s="9" t="n"/>
      <c r="B45" s="30" t="n"/>
      <c r="C45" s="9" t="n"/>
      <c r="D45" s="24" t="n"/>
      <c r="E45" s="24">
        <f>IF($A45="","",ROUND(SUMIFS(Compras!$L$2:$L$5000,Compras!$A$2:$A$5000,$A45),2))</f>
        <v/>
      </c>
      <c r="F45" s="24">
        <f>IF($A45="","",ROUND($D45-$E45,2))</f>
        <v/>
      </c>
      <c r="G45" s="9">
        <f>IF($A45="","",IF(ABS($F45)&lt;=0.02,"OK","REVISAR"))</f>
        <v/>
      </c>
      <c r="H45" s="9" t="n"/>
      <c r="I45" s="9" t="n"/>
      <c r="J45" s="9" t="n"/>
      <c r="K45" s="9" t="n"/>
      <c r="L45" s="9" t="n"/>
      <c r="M45" s="9">
        <f>IF($A45="","",IF(COUNTIFS($B$2:$B$1000,$B45,$C$2:$C$1000,$C45,$D$2:$D$1000,$D45,$H$2:$H$1000,$H45)&gt;1,"DUPLICADO",""))</f>
        <v/>
      </c>
    </row>
    <row r="46">
      <c r="A46" s="9" t="n"/>
      <c r="B46" s="30" t="n"/>
      <c r="C46" s="9" t="n"/>
      <c r="D46" s="24" t="n"/>
      <c r="E46" s="24">
        <f>IF($A46="","",ROUND(SUMIFS(Compras!$L$2:$L$5000,Compras!$A$2:$A$5000,$A46),2))</f>
        <v/>
      </c>
      <c r="F46" s="24">
        <f>IF($A46="","",ROUND($D46-$E46,2))</f>
        <v/>
      </c>
      <c r="G46" s="9">
        <f>IF($A46="","",IF(ABS($F46)&lt;=0.02,"OK","REVISAR"))</f>
        <v/>
      </c>
      <c r="H46" s="9" t="n"/>
      <c r="I46" s="9" t="n"/>
      <c r="J46" s="9" t="n"/>
      <c r="K46" s="9" t="n"/>
      <c r="L46" s="9" t="n"/>
      <c r="M46" s="9">
        <f>IF($A46="","",IF(COUNTIFS($B$2:$B$1000,$B46,$C$2:$C$1000,$C46,$D$2:$D$1000,$D46,$H$2:$H$1000,$H46)&gt;1,"DUPLICADO",""))</f>
        <v/>
      </c>
    </row>
    <row r="47">
      <c r="A47" s="9" t="n"/>
      <c r="B47" s="30" t="n"/>
      <c r="C47" s="9" t="n"/>
      <c r="D47" s="24" t="n"/>
      <c r="E47" s="24">
        <f>IF($A47="","",ROUND(SUMIFS(Compras!$L$2:$L$5000,Compras!$A$2:$A$5000,$A47),2))</f>
        <v/>
      </c>
      <c r="F47" s="24">
        <f>IF($A47="","",ROUND($D47-$E47,2))</f>
        <v/>
      </c>
      <c r="G47" s="9">
        <f>IF($A47="","",IF(ABS($F47)&lt;=0.02,"OK","REVISAR"))</f>
        <v/>
      </c>
      <c r="H47" s="9" t="n"/>
      <c r="I47" s="9" t="n"/>
      <c r="J47" s="9" t="n"/>
      <c r="K47" s="9" t="n"/>
      <c r="L47" s="9" t="n"/>
      <c r="M47" s="9">
        <f>IF($A47="","",IF(COUNTIFS($B$2:$B$1000,$B47,$C$2:$C$1000,$C47,$D$2:$D$1000,$D47,$H$2:$H$1000,$H47)&gt;1,"DUPLICADO",""))</f>
        <v/>
      </c>
    </row>
    <row r="48">
      <c r="A48" s="9" t="n"/>
      <c r="B48" s="30" t="n"/>
      <c r="C48" s="9" t="n"/>
      <c r="D48" s="24" t="n"/>
      <c r="E48" s="24">
        <f>IF($A48="","",ROUND(SUMIFS(Compras!$L$2:$L$5000,Compras!$A$2:$A$5000,$A48),2))</f>
        <v/>
      </c>
      <c r="F48" s="24">
        <f>IF($A48="","",ROUND($D48-$E48,2))</f>
        <v/>
      </c>
      <c r="G48" s="9">
        <f>IF($A48="","",IF(ABS($F48)&lt;=0.02,"OK","REVISAR"))</f>
        <v/>
      </c>
      <c r="H48" s="9" t="n"/>
      <c r="I48" s="9" t="n"/>
      <c r="J48" s="9" t="n"/>
      <c r="K48" s="9" t="n"/>
      <c r="L48" s="9" t="n"/>
      <c r="M48" s="9">
        <f>IF($A48="","",IF(COUNTIFS($B$2:$B$1000,$B48,$C$2:$C$1000,$C48,$D$2:$D$1000,$D48,$H$2:$H$1000,$H48)&gt;1,"DUPLICADO",""))</f>
        <v/>
      </c>
    </row>
    <row r="49">
      <c r="A49" s="9" t="n"/>
      <c r="B49" s="30" t="n"/>
      <c r="C49" s="9" t="n"/>
      <c r="D49" s="24" t="n"/>
      <c r="E49" s="24">
        <f>IF($A49="","",ROUND(SUMIFS(Compras!$L$2:$L$5000,Compras!$A$2:$A$5000,$A49),2))</f>
        <v/>
      </c>
      <c r="F49" s="24">
        <f>IF($A49="","",ROUND($D49-$E49,2))</f>
        <v/>
      </c>
      <c r="G49" s="9">
        <f>IF($A49="","",IF(ABS($F49)&lt;=0.02,"OK","REVISAR"))</f>
        <v/>
      </c>
      <c r="H49" s="9" t="n"/>
      <c r="I49" s="9" t="n"/>
      <c r="J49" s="9" t="n"/>
      <c r="K49" s="9" t="n"/>
      <c r="L49" s="9" t="n"/>
      <c r="M49" s="9">
        <f>IF($A49="","",IF(COUNTIFS($B$2:$B$1000,$B49,$C$2:$C$1000,$C49,$D$2:$D$1000,$D49,$H$2:$H$1000,$H49)&gt;1,"DUPLICADO",""))</f>
        <v/>
      </c>
    </row>
    <row r="50">
      <c r="A50" s="9" t="n"/>
      <c r="B50" s="30" t="n"/>
      <c r="C50" s="9" t="n"/>
      <c r="D50" s="24" t="n"/>
      <c r="E50" s="24">
        <f>IF($A50="","",ROUND(SUMIFS(Compras!$L$2:$L$5000,Compras!$A$2:$A$5000,$A50),2))</f>
        <v/>
      </c>
      <c r="F50" s="24">
        <f>IF($A50="","",ROUND($D50-$E50,2))</f>
        <v/>
      </c>
      <c r="G50" s="9">
        <f>IF($A50="","",IF(ABS($F50)&lt;=0.02,"OK","REVISAR"))</f>
        <v/>
      </c>
      <c r="H50" s="9" t="n"/>
      <c r="I50" s="9" t="n"/>
      <c r="J50" s="9" t="n"/>
      <c r="K50" s="9" t="n"/>
      <c r="L50" s="9" t="n"/>
      <c r="M50" s="9">
        <f>IF($A50="","",IF(COUNTIFS($B$2:$B$1000,$B50,$C$2:$C$1000,$C50,$D$2:$D$1000,$D50,$H$2:$H$1000,$H50)&gt;1,"DUPLICADO",""))</f>
        <v/>
      </c>
    </row>
    <row r="51">
      <c r="A51" s="9" t="n"/>
      <c r="B51" s="30" t="n"/>
      <c r="C51" s="9" t="n"/>
      <c r="D51" s="24" t="n"/>
      <c r="E51" s="24">
        <f>IF($A51="","",ROUND(SUMIFS(Compras!$L$2:$L$5000,Compras!$A$2:$A$5000,$A51),2))</f>
        <v/>
      </c>
      <c r="F51" s="24">
        <f>IF($A51="","",ROUND($D51-$E51,2))</f>
        <v/>
      </c>
      <c r="G51" s="9">
        <f>IF($A51="","",IF(ABS($F51)&lt;=0.02,"OK","REVISAR"))</f>
        <v/>
      </c>
      <c r="H51" s="9" t="n"/>
      <c r="I51" s="9" t="n"/>
      <c r="J51" s="9" t="n"/>
      <c r="K51" s="9" t="n"/>
      <c r="L51" s="9" t="n"/>
      <c r="M51" s="9">
        <f>IF($A51="","",IF(COUNTIFS($B$2:$B$1000,$B51,$C$2:$C$1000,$C51,$D$2:$D$1000,$D51,$H$2:$H$1000,$H51)&gt;1,"DUPLICADO",""))</f>
        <v/>
      </c>
    </row>
    <row r="52">
      <c r="A52" s="9" t="n"/>
      <c r="B52" s="30" t="n"/>
      <c r="C52" s="9" t="n"/>
      <c r="D52" s="24" t="n"/>
      <c r="E52" s="24">
        <f>IF($A52="","",ROUND(SUMIFS(Compras!$L$2:$L$5000,Compras!$A$2:$A$5000,$A52),2))</f>
        <v/>
      </c>
      <c r="F52" s="24">
        <f>IF($A52="","",ROUND($D52-$E52,2))</f>
        <v/>
      </c>
      <c r="G52" s="9">
        <f>IF($A52="","",IF(ABS($F52)&lt;=0.02,"OK","REVISAR"))</f>
        <v/>
      </c>
      <c r="H52" s="9" t="n"/>
      <c r="I52" s="9" t="n"/>
      <c r="J52" s="9" t="n"/>
      <c r="K52" s="9" t="n"/>
      <c r="L52" s="9" t="n"/>
      <c r="M52" s="9">
        <f>IF($A52="","",IF(COUNTIFS($B$2:$B$1000,$B52,$C$2:$C$1000,$C52,$D$2:$D$1000,$D52,$H$2:$H$1000,$H52)&gt;1,"DUPLICADO",""))</f>
        <v/>
      </c>
    </row>
    <row r="53">
      <c r="A53" s="9" t="n"/>
      <c r="B53" s="30" t="n"/>
      <c r="C53" s="9" t="n"/>
      <c r="D53" s="24" t="n"/>
      <c r="E53" s="24">
        <f>IF($A53="","",ROUND(SUMIFS(Compras!$L$2:$L$5000,Compras!$A$2:$A$5000,$A53),2))</f>
        <v/>
      </c>
      <c r="F53" s="24">
        <f>IF($A53="","",ROUND($D53-$E53,2))</f>
        <v/>
      </c>
      <c r="G53" s="9">
        <f>IF($A53="","",IF(ABS($F53)&lt;=0.02,"OK","REVISAR"))</f>
        <v/>
      </c>
      <c r="H53" s="9" t="n"/>
      <c r="I53" s="9" t="n"/>
      <c r="J53" s="9" t="n"/>
      <c r="K53" s="9" t="n"/>
      <c r="L53" s="9" t="n"/>
      <c r="M53" s="9">
        <f>IF($A53="","",IF(COUNTIFS($B$2:$B$1000,$B53,$C$2:$C$1000,$C53,$D$2:$D$1000,$D53,$H$2:$H$1000,$H53)&gt;1,"DUPLICADO",""))</f>
        <v/>
      </c>
    </row>
    <row r="54">
      <c r="A54" s="9" t="n"/>
      <c r="B54" s="30" t="n"/>
      <c r="C54" s="9" t="n"/>
      <c r="D54" s="24" t="n"/>
      <c r="E54" s="24">
        <f>IF($A54="","",ROUND(SUMIFS(Compras!$L$2:$L$5000,Compras!$A$2:$A$5000,$A54),2))</f>
        <v/>
      </c>
      <c r="F54" s="24">
        <f>IF($A54="","",ROUND($D54-$E54,2))</f>
        <v/>
      </c>
      <c r="G54" s="9">
        <f>IF($A54="","",IF(ABS($F54)&lt;=0.02,"OK","REVISAR"))</f>
        <v/>
      </c>
      <c r="H54" s="9" t="n"/>
      <c r="I54" s="9" t="n"/>
      <c r="J54" s="9" t="n"/>
      <c r="K54" s="9" t="n"/>
      <c r="L54" s="9" t="n"/>
      <c r="M54" s="9">
        <f>IF($A54="","",IF(COUNTIFS($B$2:$B$1000,$B54,$C$2:$C$1000,$C54,$D$2:$D$1000,$D54,$H$2:$H$1000,$H54)&gt;1,"DUPLICADO",""))</f>
        <v/>
      </c>
    </row>
    <row r="55">
      <c r="A55" s="9" t="n"/>
      <c r="B55" s="30" t="n"/>
      <c r="C55" s="9" t="n"/>
      <c r="D55" s="24" t="n"/>
      <c r="E55" s="24">
        <f>IF($A55="","",ROUND(SUMIFS(Compras!$L$2:$L$5000,Compras!$A$2:$A$5000,$A55),2))</f>
        <v/>
      </c>
      <c r="F55" s="24">
        <f>IF($A55="","",ROUND($D55-$E55,2))</f>
        <v/>
      </c>
      <c r="G55" s="9">
        <f>IF($A55="","",IF(ABS($F55)&lt;=0.02,"OK","REVISAR"))</f>
        <v/>
      </c>
      <c r="H55" s="9" t="n"/>
      <c r="I55" s="9" t="n"/>
      <c r="J55" s="9" t="n"/>
      <c r="K55" s="9" t="n"/>
      <c r="L55" s="9" t="n"/>
      <c r="M55" s="9">
        <f>IF($A55="","",IF(COUNTIFS($B$2:$B$1000,$B55,$C$2:$C$1000,$C55,$D$2:$D$1000,$D55,$H$2:$H$1000,$H55)&gt;1,"DUPLICADO",""))</f>
        <v/>
      </c>
    </row>
    <row r="56">
      <c r="A56" s="9" t="n"/>
      <c r="B56" s="30" t="n"/>
      <c r="C56" s="9" t="n"/>
      <c r="D56" s="24" t="n"/>
      <c r="E56" s="24">
        <f>IF($A56="","",ROUND(SUMIFS(Compras!$L$2:$L$5000,Compras!$A$2:$A$5000,$A56),2))</f>
        <v/>
      </c>
      <c r="F56" s="24">
        <f>IF($A56="","",ROUND($D56-$E56,2))</f>
        <v/>
      </c>
      <c r="G56" s="9">
        <f>IF($A56="","",IF(ABS($F56)&lt;=0.02,"OK","REVISAR"))</f>
        <v/>
      </c>
      <c r="H56" s="9" t="n"/>
      <c r="I56" s="9" t="n"/>
      <c r="J56" s="9" t="n"/>
      <c r="K56" s="9" t="n"/>
      <c r="L56" s="9" t="n"/>
      <c r="M56" s="9">
        <f>IF($A56="","",IF(COUNTIFS($B$2:$B$1000,$B56,$C$2:$C$1000,$C56,$D$2:$D$1000,$D56,$H$2:$H$1000,$H56)&gt;1,"DUPLICADO",""))</f>
        <v/>
      </c>
    </row>
    <row r="57">
      <c r="A57" s="9" t="n"/>
      <c r="B57" s="30" t="n"/>
      <c r="C57" s="9" t="n"/>
      <c r="D57" s="24" t="n"/>
      <c r="E57" s="24">
        <f>IF($A57="","",ROUND(SUMIFS(Compras!$L$2:$L$5000,Compras!$A$2:$A$5000,$A57),2))</f>
        <v/>
      </c>
      <c r="F57" s="24">
        <f>IF($A57="","",ROUND($D57-$E57,2))</f>
        <v/>
      </c>
      <c r="G57" s="9">
        <f>IF($A57="","",IF(ABS($F57)&lt;=0.02,"OK","REVISAR"))</f>
        <v/>
      </c>
      <c r="H57" s="9" t="n"/>
      <c r="I57" s="9" t="n"/>
      <c r="J57" s="9" t="n"/>
      <c r="K57" s="9" t="n"/>
      <c r="L57" s="9" t="n"/>
      <c r="M57" s="9">
        <f>IF($A57="","",IF(COUNTIFS($B$2:$B$1000,$B57,$C$2:$C$1000,$C57,$D$2:$D$1000,$D57,$H$2:$H$1000,$H57)&gt;1,"DUPLICADO",""))</f>
        <v/>
      </c>
    </row>
    <row r="58">
      <c r="A58" s="9" t="n"/>
      <c r="B58" s="30" t="n"/>
      <c r="C58" s="9" t="n"/>
      <c r="D58" s="24" t="n"/>
      <c r="E58" s="24">
        <f>IF($A58="","",ROUND(SUMIFS(Compras!$L$2:$L$5000,Compras!$A$2:$A$5000,$A58),2))</f>
        <v/>
      </c>
      <c r="F58" s="24">
        <f>IF($A58="","",ROUND($D58-$E58,2))</f>
        <v/>
      </c>
      <c r="G58" s="9">
        <f>IF($A58="","",IF(ABS($F58)&lt;=0.02,"OK","REVISAR"))</f>
        <v/>
      </c>
      <c r="H58" s="9" t="n"/>
      <c r="I58" s="9" t="n"/>
      <c r="J58" s="9" t="n"/>
      <c r="K58" s="9" t="n"/>
      <c r="L58" s="9" t="n"/>
      <c r="M58" s="9">
        <f>IF($A58="","",IF(COUNTIFS($B$2:$B$1000,$B58,$C$2:$C$1000,$C58,$D$2:$D$1000,$D58,$H$2:$H$1000,$H58)&gt;1,"DUPLICADO",""))</f>
        <v/>
      </c>
    </row>
    <row r="59">
      <c r="A59" s="9" t="n"/>
      <c r="B59" s="30" t="n"/>
      <c r="C59" s="9" t="n"/>
      <c r="D59" s="24" t="n"/>
      <c r="E59" s="24">
        <f>IF($A59="","",ROUND(SUMIFS(Compras!$L$2:$L$5000,Compras!$A$2:$A$5000,$A59),2))</f>
        <v/>
      </c>
      <c r="F59" s="24">
        <f>IF($A59="","",ROUND($D59-$E59,2))</f>
        <v/>
      </c>
      <c r="G59" s="9">
        <f>IF($A59="","",IF(ABS($F59)&lt;=0.02,"OK","REVISAR"))</f>
        <v/>
      </c>
      <c r="H59" s="9" t="n"/>
      <c r="I59" s="9" t="n"/>
      <c r="J59" s="9" t="n"/>
      <c r="K59" s="9" t="n"/>
      <c r="L59" s="9" t="n"/>
      <c r="M59" s="9">
        <f>IF($A59="","",IF(COUNTIFS($B$2:$B$1000,$B59,$C$2:$C$1000,$C59,$D$2:$D$1000,$D59,$H$2:$H$1000,$H59)&gt;1,"DUPLICADO",""))</f>
        <v/>
      </c>
    </row>
    <row r="60">
      <c r="A60" s="9" t="n"/>
      <c r="B60" s="30" t="n"/>
      <c r="C60" s="9" t="n"/>
      <c r="D60" s="24" t="n"/>
      <c r="E60" s="24">
        <f>IF($A60="","",ROUND(SUMIFS(Compras!$L$2:$L$5000,Compras!$A$2:$A$5000,$A60),2))</f>
        <v/>
      </c>
      <c r="F60" s="24">
        <f>IF($A60="","",ROUND($D60-$E60,2))</f>
        <v/>
      </c>
      <c r="G60" s="9">
        <f>IF($A60="","",IF(ABS($F60)&lt;=0.02,"OK","REVISAR"))</f>
        <v/>
      </c>
      <c r="H60" s="9" t="n"/>
      <c r="I60" s="9" t="n"/>
      <c r="J60" s="9" t="n"/>
      <c r="K60" s="9" t="n"/>
      <c r="L60" s="9" t="n"/>
      <c r="M60" s="9">
        <f>IF($A60="","",IF(COUNTIFS($B$2:$B$1000,$B60,$C$2:$C$1000,$C60,$D$2:$D$1000,$D60,$H$2:$H$1000,$H60)&gt;1,"DUPLICADO",""))</f>
        <v/>
      </c>
    </row>
    <row r="61">
      <c r="A61" s="9" t="n"/>
      <c r="B61" s="30" t="n"/>
      <c r="C61" s="9" t="n"/>
      <c r="D61" s="24" t="n"/>
      <c r="E61" s="24">
        <f>IF($A61="","",ROUND(SUMIFS(Compras!$L$2:$L$5000,Compras!$A$2:$A$5000,$A61),2))</f>
        <v/>
      </c>
      <c r="F61" s="24">
        <f>IF($A61="","",ROUND($D61-$E61,2))</f>
        <v/>
      </c>
      <c r="G61" s="9">
        <f>IF($A61="","",IF(ABS($F61)&lt;=0.02,"OK","REVISAR"))</f>
        <v/>
      </c>
      <c r="H61" s="9" t="n"/>
      <c r="I61" s="9" t="n"/>
      <c r="J61" s="9" t="n"/>
      <c r="K61" s="9" t="n"/>
      <c r="L61" s="9" t="n"/>
      <c r="M61" s="9">
        <f>IF($A61="","",IF(COUNTIFS($B$2:$B$1000,$B61,$C$2:$C$1000,$C61,$D$2:$D$1000,$D61,$H$2:$H$1000,$H61)&gt;1,"DUPLICADO",""))</f>
        <v/>
      </c>
    </row>
    <row r="62">
      <c r="A62" s="9" t="n"/>
      <c r="B62" s="30" t="n"/>
      <c r="C62" s="9" t="n"/>
      <c r="D62" s="24" t="n"/>
      <c r="E62" s="24">
        <f>IF($A62="","",ROUND(SUMIFS(Compras!$L$2:$L$5000,Compras!$A$2:$A$5000,$A62),2))</f>
        <v/>
      </c>
      <c r="F62" s="24">
        <f>IF($A62="","",ROUND($D62-$E62,2))</f>
        <v/>
      </c>
      <c r="G62" s="9">
        <f>IF($A62="","",IF(ABS($F62)&lt;=0.02,"OK","REVISAR"))</f>
        <v/>
      </c>
      <c r="H62" s="9" t="n"/>
      <c r="I62" s="9" t="n"/>
      <c r="J62" s="9" t="n"/>
      <c r="K62" s="9" t="n"/>
      <c r="L62" s="9" t="n"/>
      <c r="M62" s="9">
        <f>IF($A62="","",IF(COUNTIFS($B$2:$B$1000,$B62,$C$2:$C$1000,$C62,$D$2:$D$1000,$D62,$H$2:$H$1000,$H62)&gt;1,"DUPLICADO",""))</f>
        <v/>
      </c>
    </row>
    <row r="63">
      <c r="A63" s="9" t="n"/>
      <c r="B63" s="30" t="n"/>
      <c r="C63" s="9" t="n"/>
      <c r="D63" s="24" t="n"/>
      <c r="E63" s="24">
        <f>IF($A63="","",ROUND(SUMIFS(Compras!$L$2:$L$5000,Compras!$A$2:$A$5000,$A63),2))</f>
        <v/>
      </c>
      <c r="F63" s="24">
        <f>IF($A63="","",ROUND($D63-$E63,2))</f>
        <v/>
      </c>
      <c r="G63" s="9">
        <f>IF($A63="","",IF(ABS($F63)&lt;=0.02,"OK","REVISAR"))</f>
        <v/>
      </c>
      <c r="H63" s="9" t="n"/>
      <c r="I63" s="9" t="n"/>
      <c r="J63" s="9" t="n"/>
      <c r="K63" s="9" t="n"/>
      <c r="L63" s="9" t="n"/>
      <c r="M63" s="9">
        <f>IF($A63="","",IF(COUNTIFS($B$2:$B$1000,$B63,$C$2:$C$1000,$C63,$D$2:$D$1000,$D63,$H$2:$H$1000,$H63)&gt;1,"DUPLICADO",""))</f>
        <v/>
      </c>
    </row>
    <row r="64">
      <c r="A64" s="9" t="n"/>
      <c r="B64" s="30" t="n"/>
      <c r="C64" s="9" t="n"/>
      <c r="D64" s="24" t="n"/>
      <c r="E64" s="24">
        <f>IF($A64="","",ROUND(SUMIFS(Compras!$L$2:$L$5000,Compras!$A$2:$A$5000,$A64),2))</f>
        <v/>
      </c>
      <c r="F64" s="24">
        <f>IF($A64="","",ROUND($D64-$E64,2))</f>
        <v/>
      </c>
      <c r="G64" s="9">
        <f>IF($A64="","",IF(ABS($F64)&lt;=0.02,"OK","REVISAR"))</f>
        <v/>
      </c>
      <c r="H64" s="9" t="n"/>
      <c r="I64" s="9" t="n"/>
      <c r="J64" s="9" t="n"/>
      <c r="K64" s="9" t="n"/>
      <c r="L64" s="9" t="n"/>
      <c r="M64" s="9">
        <f>IF($A64="","",IF(COUNTIFS($B$2:$B$1000,$B64,$C$2:$C$1000,$C64,$D$2:$D$1000,$D64,$H$2:$H$1000,$H64)&gt;1,"DUPLICADO",""))</f>
        <v/>
      </c>
    </row>
    <row r="65">
      <c r="A65" s="9" t="n"/>
      <c r="B65" s="30" t="n"/>
      <c r="C65" s="9" t="n"/>
      <c r="D65" s="24" t="n"/>
      <c r="E65" s="24">
        <f>IF($A65="","",ROUND(SUMIFS(Compras!$L$2:$L$5000,Compras!$A$2:$A$5000,$A65),2))</f>
        <v/>
      </c>
      <c r="F65" s="24">
        <f>IF($A65="","",ROUND($D65-$E65,2))</f>
        <v/>
      </c>
      <c r="G65" s="9">
        <f>IF($A65="","",IF(ABS($F65)&lt;=0.02,"OK","REVISAR"))</f>
        <v/>
      </c>
      <c r="H65" s="9" t="n"/>
      <c r="I65" s="9" t="n"/>
      <c r="J65" s="9" t="n"/>
      <c r="K65" s="9" t="n"/>
      <c r="L65" s="9" t="n"/>
      <c r="M65" s="9">
        <f>IF($A65="","",IF(COUNTIFS($B$2:$B$1000,$B65,$C$2:$C$1000,$C65,$D$2:$D$1000,$D65,$H$2:$H$1000,$H65)&gt;1,"DUPLICADO",""))</f>
        <v/>
      </c>
    </row>
    <row r="66">
      <c r="A66" s="9" t="n"/>
      <c r="B66" s="30" t="n"/>
      <c r="C66" s="9" t="n"/>
      <c r="D66" s="24" t="n"/>
      <c r="E66" s="24">
        <f>IF($A66="","",ROUND(SUMIFS(Compras!$L$2:$L$5000,Compras!$A$2:$A$5000,$A66),2))</f>
        <v/>
      </c>
      <c r="F66" s="24">
        <f>IF($A66="","",ROUND($D66-$E66,2))</f>
        <v/>
      </c>
      <c r="G66" s="9">
        <f>IF($A66="","",IF(ABS($F66)&lt;=0.02,"OK","REVISAR"))</f>
        <v/>
      </c>
      <c r="H66" s="9" t="n"/>
      <c r="I66" s="9" t="n"/>
      <c r="J66" s="9" t="n"/>
      <c r="K66" s="9" t="n"/>
      <c r="L66" s="9" t="n"/>
      <c r="M66" s="9">
        <f>IF($A66="","",IF(COUNTIFS($B$2:$B$1000,$B66,$C$2:$C$1000,$C66,$D$2:$D$1000,$D66,$H$2:$H$1000,$H66)&gt;1,"DUPLICADO",""))</f>
        <v/>
      </c>
    </row>
    <row r="67">
      <c r="A67" s="9" t="n"/>
      <c r="B67" s="30" t="n"/>
      <c r="C67" s="9" t="n"/>
      <c r="D67" s="24" t="n"/>
      <c r="E67" s="24">
        <f>IF($A67="","",ROUND(SUMIFS(Compras!$L$2:$L$5000,Compras!$A$2:$A$5000,$A67),2))</f>
        <v/>
      </c>
      <c r="F67" s="24">
        <f>IF($A67="","",ROUND($D67-$E67,2))</f>
        <v/>
      </c>
      <c r="G67" s="9">
        <f>IF($A67="","",IF(ABS($F67)&lt;=0.02,"OK","REVISAR"))</f>
        <v/>
      </c>
      <c r="H67" s="9" t="n"/>
      <c r="I67" s="9" t="n"/>
      <c r="J67" s="9" t="n"/>
      <c r="K67" s="9" t="n"/>
      <c r="L67" s="9" t="n"/>
      <c r="M67" s="9">
        <f>IF($A67="","",IF(COUNTIFS($B$2:$B$1000,$B67,$C$2:$C$1000,$C67,$D$2:$D$1000,$D67,$H$2:$H$1000,$H67)&gt;1,"DUPLICADO",""))</f>
        <v/>
      </c>
    </row>
    <row r="68">
      <c r="A68" s="9" t="n"/>
      <c r="B68" s="30" t="n"/>
      <c r="C68" s="9" t="n"/>
      <c r="D68" s="24" t="n"/>
      <c r="E68" s="24">
        <f>IF($A68="","",ROUND(SUMIFS(Compras!$L$2:$L$5000,Compras!$A$2:$A$5000,$A68),2))</f>
        <v/>
      </c>
      <c r="F68" s="24">
        <f>IF($A68="","",ROUND($D68-$E68,2))</f>
        <v/>
      </c>
      <c r="G68" s="9">
        <f>IF($A68="","",IF(ABS($F68)&lt;=0.02,"OK","REVISAR"))</f>
        <v/>
      </c>
      <c r="H68" s="9" t="n"/>
      <c r="I68" s="9" t="n"/>
      <c r="J68" s="9" t="n"/>
      <c r="K68" s="9" t="n"/>
      <c r="L68" s="9" t="n"/>
      <c r="M68" s="9">
        <f>IF($A68="","",IF(COUNTIFS($B$2:$B$1000,$B68,$C$2:$C$1000,$C68,$D$2:$D$1000,$D68,$H$2:$H$1000,$H68)&gt;1,"DUPLICADO",""))</f>
        <v/>
      </c>
    </row>
    <row r="69">
      <c r="A69" s="9" t="n"/>
      <c r="B69" s="30" t="n"/>
      <c r="C69" s="9" t="n"/>
      <c r="D69" s="24" t="n"/>
      <c r="E69" s="24">
        <f>IF($A69="","",ROUND(SUMIFS(Compras!$L$2:$L$5000,Compras!$A$2:$A$5000,$A69),2))</f>
        <v/>
      </c>
      <c r="F69" s="24">
        <f>IF($A69="","",ROUND($D69-$E69,2))</f>
        <v/>
      </c>
      <c r="G69" s="9">
        <f>IF($A69="","",IF(ABS($F69)&lt;=0.02,"OK","REVISAR"))</f>
        <v/>
      </c>
      <c r="H69" s="9" t="n"/>
      <c r="I69" s="9" t="n"/>
      <c r="J69" s="9" t="n"/>
      <c r="K69" s="9" t="n"/>
      <c r="L69" s="9" t="n"/>
      <c r="M69" s="9">
        <f>IF($A69="","",IF(COUNTIFS($B$2:$B$1000,$B69,$C$2:$C$1000,$C69,$D$2:$D$1000,$D69,$H$2:$H$1000,$H69)&gt;1,"DUPLICADO",""))</f>
        <v/>
      </c>
    </row>
    <row r="70">
      <c r="A70" s="9" t="n"/>
      <c r="B70" s="30" t="n"/>
      <c r="C70" s="9" t="n"/>
      <c r="D70" s="24" t="n"/>
      <c r="E70" s="24">
        <f>IF($A70="","",ROUND(SUMIFS(Compras!$L$2:$L$5000,Compras!$A$2:$A$5000,$A70),2))</f>
        <v/>
      </c>
      <c r="F70" s="24">
        <f>IF($A70="","",ROUND($D70-$E70,2))</f>
        <v/>
      </c>
      <c r="G70" s="9">
        <f>IF($A70="","",IF(ABS($F70)&lt;=0.02,"OK","REVISAR"))</f>
        <v/>
      </c>
      <c r="H70" s="9" t="n"/>
      <c r="I70" s="9" t="n"/>
      <c r="J70" s="9" t="n"/>
      <c r="K70" s="9" t="n"/>
      <c r="L70" s="9" t="n"/>
      <c r="M70" s="9">
        <f>IF($A70="","",IF(COUNTIFS($B$2:$B$1000,$B70,$C$2:$C$1000,$C70,$D$2:$D$1000,$D70,$H$2:$H$1000,$H70)&gt;1,"DUPLICADO",""))</f>
        <v/>
      </c>
    </row>
    <row r="71">
      <c r="A71" s="9" t="n"/>
      <c r="B71" s="30" t="n"/>
      <c r="C71" s="9" t="n"/>
      <c r="D71" s="24" t="n"/>
      <c r="E71" s="24">
        <f>IF($A71="","",ROUND(SUMIFS(Compras!$L$2:$L$5000,Compras!$A$2:$A$5000,$A71),2))</f>
        <v/>
      </c>
      <c r="F71" s="24">
        <f>IF($A71="","",ROUND($D71-$E71,2))</f>
        <v/>
      </c>
      <c r="G71" s="9">
        <f>IF($A71="","",IF(ABS($F71)&lt;=0.02,"OK","REVISAR"))</f>
        <v/>
      </c>
      <c r="H71" s="9" t="n"/>
      <c r="I71" s="9" t="n"/>
      <c r="J71" s="9" t="n"/>
      <c r="K71" s="9" t="n"/>
      <c r="L71" s="9" t="n"/>
      <c r="M71" s="9">
        <f>IF($A71="","",IF(COUNTIFS($B$2:$B$1000,$B71,$C$2:$C$1000,$C71,$D$2:$D$1000,$D71,$H$2:$H$1000,$H71)&gt;1,"DUPLICADO",""))</f>
        <v/>
      </c>
    </row>
    <row r="72">
      <c r="A72" s="9" t="n"/>
      <c r="B72" s="30" t="n"/>
      <c r="C72" s="9" t="n"/>
      <c r="D72" s="24" t="n"/>
      <c r="E72" s="24">
        <f>IF($A72="","",ROUND(SUMIFS(Compras!$L$2:$L$5000,Compras!$A$2:$A$5000,$A72),2))</f>
        <v/>
      </c>
      <c r="F72" s="24">
        <f>IF($A72="","",ROUND($D72-$E72,2))</f>
        <v/>
      </c>
      <c r="G72" s="9">
        <f>IF($A72="","",IF(ABS($F72)&lt;=0.02,"OK","REVISAR"))</f>
        <v/>
      </c>
      <c r="H72" s="9" t="n"/>
      <c r="I72" s="9" t="n"/>
      <c r="J72" s="9" t="n"/>
      <c r="K72" s="9" t="n"/>
      <c r="L72" s="9" t="n"/>
      <c r="M72" s="9">
        <f>IF($A72="","",IF(COUNTIFS($B$2:$B$1000,$B72,$C$2:$C$1000,$C72,$D$2:$D$1000,$D72,$H$2:$H$1000,$H72)&gt;1,"DUPLICADO",""))</f>
        <v/>
      </c>
    </row>
    <row r="73">
      <c r="A73" s="9" t="n"/>
      <c r="B73" s="30" t="n"/>
      <c r="C73" s="9" t="n"/>
      <c r="D73" s="24" t="n"/>
      <c r="E73" s="24">
        <f>IF($A73="","",ROUND(SUMIFS(Compras!$L$2:$L$5000,Compras!$A$2:$A$5000,$A73),2))</f>
        <v/>
      </c>
      <c r="F73" s="24">
        <f>IF($A73="","",ROUND($D73-$E73,2))</f>
        <v/>
      </c>
      <c r="G73" s="9">
        <f>IF($A73="","",IF(ABS($F73)&lt;=0.02,"OK","REVISAR"))</f>
        <v/>
      </c>
      <c r="H73" s="9" t="n"/>
      <c r="I73" s="9" t="n"/>
      <c r="J73" s="9" t="n"/>
      <c r="K73" s="9" t="n"/>
      <c r="L73" s="9" t="n"/>
      <c r="M73" s="9">
        <f>IF($A73="","",IF(COUNTIFS($B$2:$B$1000,$B73,$C$2:$C$1000,$C73,$D$2:$D$1000,$D73,$H$2:$H$1000,$H73)&gt;1,"DUPLICADO",""))</f>
        <v/>
      </c>
    </row>
    <row r="74">
      <c r="A74" s="9" t="n"/>
      <c r="B74" s="30" t="n"/>
      <c r="C74" s="9" t="n"/>
      <c r="D74" s="24" t="n"/>
      <c r="E74" s="24">
        <f>IF($A74="","",ROUND(SUMIFS(Compras!$L$2:$L$5000,Compras!$A$2:$A$5000,$A74),2))</f>
        <v/>
      </c>
      <c r="F74" s="24">
        <f>IF($A74="","",ROUND($D74-$E74,2))</f>
        <v/>
      </c>
      <c r="G74" s="9">
        <f>IF($A74="","",IF(ABS($F74)&lt;=0.02,"OK","REVISAR"))</f>
        <v/>
      </c>
      <c r="H74" s="9" t="n"/>
      <c r="I74" s="9" t="n"/>
      <c r="J74" s="9" t="n"/>
      <c r="K74" s="9" t="n"/>
      <c r="L74" s="9" t="n"/>
      <c r="M74" s="9">
        <f>IF($A74="","",IF(COUNTIFS($B$2:$B$1000,$B74,$C$2:$C$1000,$C74,$D$2:$D$1000,$D74,$H$2:$H$1000,$H74)&gt;1,"DUPLICADO",""))</f>
        <v/>
      </c>
    </row>
    <row r="75">
      <c r="A75" s="9" t="n"/>
      <c r="B75" s="30" t="n"/>
      <c r="C75" s="9" t="n"/>
      <c r="D75" s="24" t="n"/>
      <c r="E75" s="24">
        <f>IF($A75="","",ROUND(SUMIFS(Compras!$L$2:$L$5000,Compras!$A$2:$A$5000,$A75),2))</f>
        <v/>
      </c>
      <c r="F75" s="24">
        <f>IF($A75="","",ROUND($D75-$E75,2))</f>
        <v/>
      </c>
      <c r="G75" s="9">
        <f>IF($A75="","",IF(ABS($F75)&lt;=0.02,"OK","REVISAR"))</f>
        <v/>
      </c>
      <c r="H75" s="9" t="n"/>
      <c r="I75" s="9" t="n"/>
      <c r="J75" s="9" t="n"/>
      <c r="K75" s="9" t="n"/>
      <c r="L75" s="9" t="n"/>
      <c r="M75" s="9">
        <f>IF($A75="","",IF(COUNTIFS($B$2:$B$1000,$B75,$C$2:$C$1000,$C75,$D$2:$D$1000,$D75,$H$2:$H$1000,$H75)&gt;1,"DUPLICADO",""))</f>
        <v/>
      </c>
    </row>
    <row r="76">
      <c r="A76" s="9" t="n"/>
      <c r="B76" s="30" t="n"/>
      <c r="C76" s="9" t="n"/>
      <c r="D76" s="24" t="n"/>
      <c r="E76" s="24">
        <f>IF($A76="","",ROUND(SUMIFS(Compras!$L$2:$L$5000,Compras!$A$2:$A$5000,$A76),2))</f>
        <v/>
      </c>
      <c r="F76" s="24">
        <f>IF($A76="","",ROUND($D76-$E76,2))</f>
        <v/>
      </c>
      <c r="G76" s="9">
        <f>IF($A76="","",IF(ABS($F76)&lt;=0.02,"OK","REVISAR"))</f>
        <v/>
      </c>
      <c r="H76" s="9" t="n"/>
      <c r="I76" s="9" t="n"/>
      <c r="J76" s="9" t="n"/>
      <c r="K76" s="9" t="n"/>
      <c r="L76" s="9" t="n"/>
      <c r="M76" s="9">
        <f>IF($A76="","",IF(COUNTIFS($B$2:$B$1000,$B76,$C$2:$C$1000,$C76,$D$2:$D$1000,$D76,$H$2:$H$1000,$H76)&gt;1,"DUPLICADO",""))</f>
        <v/>
      </c>
    </row>
    <row r="77">
      <c r="A77" s="9" t="n"/>
      <c r="B77" s="30" t="n"/>
      <c r="C77" s="9" t="n"/>
      <c r="D77" s="24" t="n"/>
      <c r="E77" s="24">
        <f>IF($A77="","",ROUND(SUMIFS(Compras!$L$2:$L$5000,Compras!$A$2:$A$5000,$A77),2))</f>
        <v/>
      </c>
      <c r="F77" s="24">
        <f>IF($A77="","",ROUND($D77-$E77,2))</f>
        <v/>
      </c>
      <c r="G77" s="9">
        <f>IF($A77="","",IF(ABS($F77)&lt;=0.02,"OK","REVISAR"))</f>
        <v/>
      </c>
      <c r="H77" s="9" t="n"/>
      <c r="I77" s="9" t="n"/>
      <c r="J77" s="9" t="n"/>
      <c r="K77" s="9" t="n"/>
      <c r="L77" s="9" t="n"/>
      <c r="M77" s="9">
        <f>IF($A77="","",IF(COUNTIFS($B$2:$B$1000,$B77,$C$2:$C$1000,$C77,$D$2:$D$1000,$D77,$H$2:$H$1000,$H77)&gt;1,"DUPLICADO",""))</f>
        <v/>
      </c>
    </row>
    <row r="78">
      <c r="A78" s="9" t="n"/>
      <c r="B78" s="30" t="n"/>
      <c r="C78" s="9" t="n"/>
      <c r="D78" s="24" t="n"/>
      <c r="E78" s="24">
        <f>IF($A78="","",ROUND(SUMIFS(Compras!$L$2:$L$5000,Compras!$A$2:$A$5000,$A78),2))</f>
        <v/>
      </c>
      <c r="F78" s="24">
        <f>IF($A78="","",ROUND($D78-$E78,2))</f>
        <v/>
      </c>
      <c r="G78" s="9">
        <f>IF($A78="","",IF(ABS($F78)&lt;=0.02,"OK","REVISAR"))</f>
        <v/>
      </c>
      <c r="H78" s="9" t="n"/>
      <c r="I78" s="9" t="n"/>
      <c r="J78" s="9" t="n"/>
      <c r="K78" s="9" t="n"/>
      <c r="L78" s="9" t="n"/>
      <c r="M78" s="9">
        <f>IF($A78="","",IF(COUNTIFS($B$2:$B$1000,$B78,$C$2:$C$1000,$C78,$D$2:$D$1000,$D78,$H$2:$H$1000,$H78)&gt;1,"DUPLICADO",""))</f>
        <v/>
      </c>
    </row>
    <row r="79">
      <c r="A79" s="9" t="n"/>
      <c r="B79" s="30" t="n"/>
      <c r="C79" s="9" t="n"/>
      <c r="D79" s="24" t="n"/>
      <c r="E79" s="24">
        <f>IF($A79="","",ROUND(SUMIFS(Compras!$L$2:$L$5000,Compras!$A$2:$A$5000,$A79),2))</f>
        <v/>
      </c>
      <c r="F79" s="24">
        <f>IF($A79="","",ROUND($D79-$E79,2))</f>
        <v/>
      </c>
      <c r="G79" s="9">
        <f>IF($A79="","",IF(ABS($F79)&lt;=0.02,"OK","REVISAR"))</f>
        <v/>
      </c>
      <c r="H79" s="9" t="n"/>
      <c r="I79" s="9" t="n"/>
      <c r="J79" s="9" t="n"/>
      <c r="K79" s="9" t="n"/>
      <c r="L79" s="9" t="n"/>
      <c r="M79" s="9">
        <f>IF($A79="","",IF(COUNTIFS($B$2:$B$1000,$B79,$C$2:$C$1000,$C79,$D$2:$D$1000,$D79,$H$2:$H$1000,$H79)&gt;1,"DUPLICADO",""))</f>
        <v/>
      </c>
    </row>
    <row r="80">
      <c r="A80" s="9" t="n"/>
      <c r="B80" s="30" t="n"/>
      <c r="C80" s="9" t="n"/>
      <c r="D80" s="24" t="n"/>
      <c r="E80" s="24">
        <f>IF($A80="","",ROUND(SUMIFS(Compras!$L$2:$L$5000,Compras!$A$2:$A$5000,$A80),2))</f>
        <v/>
      </c>
      <c r="F80" s="24">
        <f>IF($A80="","",ROUND($D80-$E80,2))</f>
        <v/>
      </c>
      <c r="G80" s="9">
        <f>IF($A80="","",IF(ABS($F80)&lt;=0.02,"OK","REVISAR"))</f>
        <v/>
      </c>
      <c r="H80" s="9" t="n"/>
      <c r="I80" s="9" t="n"/>
      <c r="J80" s="9" t="n"/>
      <c r="K80" s="9" t="n"/>
      <c r="L80" s="9" t="n"/>
      <c r="M80" s="9">
        <f>IF($A80="","",IF(COUNTIFS($B$2:$B$1000,$B80,$C$2:$C$1000,$C80,$D$2:$D$1000,$D80,$H$2:$H$1000,$H80)&gt;1,"DUPLICADO",""))</f>
        <v/>
      </c>
    </row>
    <row r="81">
      <c r="A81" s="9" t="n"/>
      <c r="B81" s="30" t="n"/>
      <c r="C81" s="9" t="n"/>
      <c r="D81" s="24" t="n"/>
      <c r="E81" s="24">
        <f>IF($A81="","",ROUND(SUMIFS(Compras!$L$2:$L$5000,Compras!$A$2:$A$5000,$A81),2))</f>
        <v/>
      </c>
      <c r="F81" s="24">
        <f>IF($A81="","",ROUND($D81-$E81,2))</f>
        <v/>
      </c>
      <c r="G81" s="9">
        <f>IF($A81="","",IF(ABS($F81)&lt;=0.02,"OK","REVISAR"))</f>
        <v/>
      </c>
      <c r="H81" s="9" t="n"/>
      <c r="I81" s="9" t="n"/>
      <c r="J81" s="9" t="n"/>
      <c r="K81" s="9" t="n"/>
      <c r="L81" s="9" t="n"/>
      <c r="M81" s="9">
        <f>IF($A81="","",IF(COUNTIFS($B$2:$B$1000,$B81,$C$2:$C$1000,$C81,$D$2:$D$1000,$D81,$H$2:$H$1000,$H81)&gt;1,"DUPLICADO",""))</f>
        <v/>
      </c>
    </row>
    <row r="82">
      <c r="A82" s="9" t="n"/>
      <c r="B82" s="30" t="n"/>
      <c r="C82" s="9" t="n"/>
      <c r="D82" s="24" t="n"/>
      <c r="E82" s="24">
        <f>IF($A82="","",ROUND(SUMIFS(Compras!$L$2:$L$5000,Compras!$A$2:$A$5000,$A82),2))</f>
        <v/>
      </c>
      <c r="F82" s="24">
        <f>IF($A82="","",ROUND($D82-$E82,2))</f>
        <v/>
      </c>
      <c r="G82" s="9">
        <f>IF($A82="","",IF(ABS($F82)&lt;=0.02,"OK","REVISAR"))</f>
        <v/>
      </c>
      <c r="H82" s="9" t="n"/>
      <c r="I82" s="9" t="n"/>
      <c r="J82" s="9" t="n"/>
      <c r="K82" s="9" t="n"/>
      <c r="L82" s="9" t="n"/>
      <c r="M82" s="9">
        <f>IF($A82="","",IF(COUNTIFS($B$2:$B$1000,$B82,$C$2:$C$1000,$C82,$D$2:$D$1000,$D82,$H$2:$H$1000,$H82)&gt;1,"DUPLICADO",""))</f>
        <v/>
      </c>
    </row>
    <row r="83">
      <c r="A83" s="9" t="n"/>
      <c r="B83" s="30" t="n"/>
      <c r="C83" s="9" t="n"/>
      <c r="D83" s="24" t="n"/>
      <c r="E83" s="24">
        <f>IF($A83="","",ROUND(SUMIFS(Compras!$L$2:$L$5000,Compras!$A$2:$A$5000,$A83),2))</f>
        <v/>
      </c>
      <c r="F83" s="24">
        <f>IF($A83="","",ROUND($D83-$E83,2))</f>
        <v/>
      </c>
      <c r="G83" s="9">
        <f>IF($A83="","",IF(ABS($F83)&lt;=0.02,"OK","REVISAR"))</f>
        <v/>
      </c>
      <c r="H83" s="9" t="n"/>
      <c r="I83" s="9" t="n"/>
      <c r="J83" s="9" t="n"/>
      <c r="K83" s="9" t="n"/>
      <c r="L83" s="9" t="n"/>
      <c r="M83" s="9">
        <f>IF($A83="","",IF(COUNTIFS($B$2:$B$1000,$B83,$C$2:$C$1000,$C83,$D$2:$D$1000,$D83,$H$2:$H$1000,$H83)&gt;1,"DUPLICADO",""))</f>
        <v/>
      </c>
    </row>
    <row r="84">
      <c r="A84" s="9" t="n"/>
      <c r="B84" s="30" t="n"/>
      <c r="C84" s="9" t="n"/>
      <c r="D84" s="24" t="n"/>
      <c r="E84" s="24">
        <f>IF($A84="","",ROUND(SUMIFS(Compras!$L$2:$L$5000,Compras!$A$2:$A$5000,$A84),2))</f>
        <v/>
      </c>
      <c r="F84" s="24">
        <f>IF($A84="","",ROUND($D84-$E84,2))</f>
        <v/>
      </c>
      <c r="G84" s="9">
        <f>IF($A84="","",IF(ABS($F84)&lt;=0.02,"OK","REVISAR"))</f>
        <v/>
      </c>
      <c r="H84" s="9" t="n"/>
      <c r="I84" s="9" t="n"/>
      <c r="J84" s="9" t="n"/>
      <c r="K84" s="9" t="n"/>
      <c r="L84" s="9" t="n"/>
      <c r="M84" s="9">
        <f>IF($A84="","",IF(COUNTIFS($B$2:$B$1000,$B84,$C$2:$C$1000,$C84,$D$2:$D$1000,$D84,$H$2:$H$1000,$H84)&gt;1,"DUPLICADO",""))</f>
        <v/>
      </c>
    </row>
    <row r="85">
      <c r="A85" s="9" t="n"/>
      <c r="B85" s="30" t="n"/>
      <c r="C85" s="9" t="n"/>
      <c r="D85" s="24" t="n"/>
      <c r="E85" s="24">
        <f>IF($A85="","",ROUND(SUMIFS(Compras!$L$2:$L$5000,Compras!$A$2:$A$5000,$A85),2))</f>
        <v/>
      </c>
      <c r="F85" s="24">
        <f>IF($A85="","",ROUND($D85-$E85,2))</f>
        <v/>
      </c>
      <c r="G85" s="9">
        <f>IF($A85="","",IF(ABS($F85)&lt;=0.02,"OK","REVISAR"))</f>
        <v/>
      </c>
      <c r="H85" s="9" t="n"/>
      <c r="I85" s="9" t="n"/>
      <c r="J85" s="9" t="n"/>
      <c r="K85" s="9" t="n"/>
      <c r="L85" s="9" t="n"/>
      <c r="M85" s="9">
        <f>IF($A85="","",IF(COUNTIFS($B$2:$B$1000,$B85,$C$2:$C$1000,$C85,$D$2:$D$1000,$D85,$H$2:$H$1000,$H85)&gt;1,"DUPLICADO",""))</f>
        <v/>
      </c>
    </row>
    <row r="86">
      <c r="A86" s="9" t="n"/>
      <c r="B86" s="30" t="n"/>
      <c r="C86" s="9" t="n"/>
      <c r="D86" s="24" t="n"/>
      <c r="E86" s="24">
        <f>IF($A86="","",ROUND(SUMIFS(Compras!$L$2:$L$5000,Compras!$A$2:$A$5000,$A86),2))</f>
        <v/>
      </c>
      <c r="F86" s="24">
        <f>IF($A86="","",ROUND($D86-$E86,2))</f>
        <v/>
      </c>
      <c r="G86" s="9">
        <f>IF($A86="","",IF(ABS($F86)&lt;=0.02,"OK","REVISAR"))</f>
        <v/>
      </c>
      <c r="H86" s="9" t="n"/>
      <c r="I86" s="9" t="n"/>
      <c r="J86" s="9" t="n"/>
      <c r="K86" s="9" t="n"/>
      <c r="L86" s="9" t="n"/>
      <c r="M86" s="9">
        <f>IF($A86="","",IF(COUNTIFS($B$2:$B$1000,$B86,$C$2:$C$1000,$C86,$D$2:$D$1000,$D86,$H$2:$H$1000,$H86)&gt;1,"DUPLICADO",""))</f>
        <v/>
      </c>
    </row>
    <row r="87">
      <c r="A87" s="9" t="n"/>
      <c r="B87" s="30" t="n"/>
      <c r="C87" s="9" t="n"/>
      <c r="D87" s="24" t="n"/>
      <c r="E87" s="24">
        <f>IF($A87="","",ROUND(SUMIFS(Compras!$L$2:$L$5000,Compras!$A$2:$A$5000,$A87),2))</f>
        <v/>
      </c>
      <c r="F87" s="24">
        <f>IF($A87="","",ROUND($D87-$E87,2))</f>
        <v/>
      </c>
      <c r="G87" s="9">
        <f>IF($A87="","",IF(ABS($F87)&lt;=0.02,"OK","REVISAR"))</f>
        <v/>
      </c>
      <c r="H87" s="9" t="n"/>
      <c r="I87" s="9" t="n"/>
      <c r="J87" s="9" t="n"/>
      <c r="K87" s="9" t="n"/>
      <c r="L87" s="9" t="n"/>
      <c r="M87" s="9">
        <f>IF($A87="","",IF(COUNTIFS($B$2:$B$1000,$B87,$C$2:$C$1000,$C87,$D$2:$D$1000,$D87,$H$2:$H$1000,$H87)&gt;1,"DUPLICADO",""))</f>
        <v/>
      </c>
    </row>
    <row r="88">
      <c r="A88" s="9" t="n"/>
      <c r="B88" s="30" t="n"/>
      <c r="C88" s="9" t="n"/>
      <c r="D88" s="24" t="n"/>
      <c r="E88" s="24">
        <f>IF($A88="","",ROUND(SUMIFS(Compras!$L$2:$L$5000,Compras!$A$2:$A$5000,$A88),2))</f>
        <v/>
      </c>
      <c r="F88" s="24">
        <f>IF($A88="","",ROUND($D88-$E88,2))</f>
        <v/>
      </c>
      <c r="G88" s="9">
        <f>IF($A88="","",IF(ABS($F88)&lt;=0.02,"OK","REVISAR"))</f>
        <v/>
      </c>
      <c r="H88" s="9" t="n"/>
      <c r="I88" s="9" t="n"/>
      <c r="J88" s="9" t="n"/>
      <c r="K88" s="9" t="n"/>
      <c r="L88" s="9" t="n"/>
      <c r="M88" s="9">
        <f>IF($A88="","",IF(COUNTIFS($B$2:$B$1000,$B88,$C$2:$C$1000,$C88,$D$2:$D$1000,$D88,$H$2:$H$1000,$H88)&gt;1,"DUPLICADO",""))</f>
        <v/>
      </c>
    </row>
    <row r="89">
      <c r="A89" s="9" t="n"/>
      <c r="B89" s="30" t="n"/>
      <c r="C89" s="9" t="n"/>
      <c r="D89" s="24" t="n"/>
      <c r="E89" s="24">
        <f>IF($A89="","",ROUND(SUMIFS(Compras!$L$2:$L$5000,Compras!$A$2:$A$5000,$A89),2))</f>
        <v/>
      </c>
      <c r="F89" s="24">
        <f>IF($A89="","",ROUND($D89-$E89,2))</f>
        <v/>
      </c>
      <c r="G89" s="9">
        <f>IF($A89="","",IF(ABS($F89)&lt;=0.02,"OK","REVISAR"))</f>
        <v/>
      </c>
      <c r="H89" s="9" t="n"/>
      <c r="I89" s="9" t="n"/>
      <c r="J89" s="9" t="n"/>
      <c r="K89" s="9" t="n"/>
      <c r="L89" s="9" t="n"/>
      <c r="M89" s="9">
        <f>IF($A89="","",IF(COUNTIFS($B$2:$B$1000,$B89,$C$2:$C$1000,$C89,$D$2:$D$1000,$D89,$H$2:$H$1000,$H89)&gt;1,"DUPLICADO",""))</f>
        <v/>
      </c>
    </row>
    <row r="90">
      <c r="A90" s="9" t="n"/>
      <c r="B90" s="30" t="n"/>
      <c r="C90" s="9" t="n"/>
      <c r="D90" s="24" t="n"/>
      <c r="E90" s="24">
        <f>IF($A90="","",ROUND(SUMIFS(Compras!$L$2:$L$5000,Compras!$A$2:$A$5000,$A90),2))</f>
        <v/>
      </c>
      <c r="F90" s="24">
        <f>IF($A90="","",ROUND($D90-$E90,2))</f>
        <v/>
      </c>
      <c r="G90" s="9">
        <f>IF($A90="","",IF(ABS($F90)&lt;=0.02,"OK","REVISAR"))</f>
        <v/>
      </c>
      <c r="H90" s="9" t="n"/>
      <c r="I90" s="9" t="n"/>
      <c r="J90" s="9" t="n"/>
      <c r="K90" s="9" t="n"/>
      <c r="L90" s="9" t="n"/>
      <c r="M90" s="9">
        <f>IF($A90="","",IF(COUNTIFS($B$2:$B$1000,$B90,$C$2:$C$1000,$C90,$D$2:$D$1000,$D90,$H$2:$H$1000,$H90)&gt;1,"DUPLICADO",""))</f>
        <v/>
      </c>
    </row>
    <row r="91">
      <c r="A91" s="9" t="n"/>
      <c r="B91" s="30" t="n"/>
      <c r="C91" s="9" t="n"/>
      <c r="D91" s="24" t="n"/>
      <c r="E91" s="24">
        <f>IF($A91="","",ROUND(SUMIFS(Compras!$L$2:$L$5000,Compras!$A$2:$A$5000,$A91),2))</f>
        <v/>
      </c>
      <c r="F91" s="24">
        <f>IF($A91="","",ROUND($D91-$E91,2))</f>
        <v/>
      </c>
      <c r="G91" s="9">
        <f>IF($A91="","",IF(ABS($F91)&lt;=0.02,"OK","REVISAR"))</f>
        <v/>
      </c>
      <c r="H91" s="9" t="n"/>
      <c r="I91" s="9" t="n"/>
      <c r="J91" s="9" t="n"/>
      <c r="K91" s="9" t="n"/>
      <c r="L91" s="9" t="n"/>
      <c r="M91" s="9">
        <f>IF($A91="","",IF(COUNTIFS($B$2:$B$1000,$B91,$C$2:$C$1000,$C91,$D$2:$D$1000,$D91,$H$2:$H$1000,$H91)&gt;1,"DUPLICADO",""))</f>
        <v/>
      </c>
    </row>
    <row r="92">
      <c r="A92" s="9" t="n"/>
      <c r="B92" s="30" t="n"/>
      <c r="C92" s="9" t="n"/>
      <c r="D92" s="24" t="n"/>
      <c r="E92" s="24">
        <f>IF($A92="","",ROUND(SUMIFS(Compras!$L$2:$L$5000,Compras!$A$2:$A$5000,$A92),2))</f>
        <v/>
      </c>
      <c r="F92" s="24">
        <f>IF($A92="","",ROUND($D92-$E92,2))</f>
        <v/>
      </c>
      <c r="G92" s="9">
        <f>IF($A92="","",IF(ABS($F92)&lt;=0.02,"OK","REVISAR"))</f>
        <v/>
      </c>
      <c r="H92" s="9" t="n"/>
      <c r="I92" s="9" t="n"/>
      <c r="J92" s="9" t="n"/>
      <c r="K92" s="9" t="n"/>
      <c r="L92" s="9" t="n"/>
      <c r="M92" s="9">
        <f>IF($A92="","",IF(COUNTIFS($B$2:$B$1000,$B92,$C$2:$C$1000,$C92,$D$2:$D$1000,$D92,$H$2:$H$1000,$H92)&gt;1,"DUPLICADO",""))</f>
        <v/>
      </c>
    </row>
    <row r="93">
      <c r="A93" s="9" t="n"/>
      <c r="B93" s="30" t="n"/>
      <c r="C93" s="9" t="n"/>
      <c r="D93" s="24" t="n"/>
      <c r="E93" s="24">
        <f>IF($A93="","",ROUND(SUMIFS(Compras!$L$2:$L$5000,Compras!$A$2:$A$5000,$A93),2))</f>
        <v/>
      </c>
      <c r="F93" s="24">
        <f>IF($A93="","",ROUND($D93-$E93,2))</f>
        <v/>
      </c>
      <c r="G93" s="9">
        <f>IF($A93="","",IF(ABS($F93)&lt;=0.02,"OK","REVISAR"))</f>
        <v/>
      </c>
      <c r="H93" s="9" t="n"/>
      <c r="I93" s="9" t="n"/>
      <c r="J93" s="9" t="n"/>
      <c r="K93" s="9" t="n"/>
      <c r="L93" s="9" t="n"/>
      <c r="M93" s="9">
        <f>IF($A93="","",IF(COUNTIFS($B$2:$B$1000,$B93,$C$2:$C$1000,$C93,$D$2:$D$1000,$D93,$H$2:$H$1000,$H93)&gt;1,"DUPLICADO",""))</f>
        <v/>
      </c>
    </row>
    <row r="94">
      <c r="A94" s="9" t="n"/>
      <c r="B94" s="30" t="n"/>
      <c r="C94" s="9" t="n"/>
      <c r="D94" s="24" t="n"/>
      <c r="E94" s="24">
        <f>IF($A94="","",ROUND(SUMIFS(Compras!$L$2:$L$5000,Compras!$A$2:$A$5000,$A94),2))</f>
        <v/>
      </c>
      <c r="F94" s="24">
        <f>IF($A94="","",ROUND($D94-$E94,2))</f>
        <v/>
      </c>
      <c r="G94" s="9">
        <f>IF($A94="","",IF(ABS($F94)&lt;=0.02,"OK","REVISAR"))</f>
        <v/>
      </c>
      <c r="H94" s="9" t="n"/>
      <c r="I94" s="9" t="n"/>
      <c r="J94" s="9" t="n"/>
      <c r="K94" s="9" t="n"/>
      <c r="L94" s="9" t="n"/>
      <c r="M94" s="9">
        <f>IF($A94="","",IF(COUNTIFS($B$2:$B$1000,$B94,$C$2:$C$1000,$C94,$D$2:$D$1000,$D94,$H$2:$H$1000,$H94)&gt;1,"DUPLICADO",""))</f>
        <v/>
      </c>
    </row>
    <row r="95">
      <c r="A95" s="9" t="n"/>
      <c r="B95" s="30" t="n"/>
      <c r="C95" s="9" t="n"/>
      <c r="D95" s="24" t="n"/>
      <c r="E95" s="24">
        <f>IF($A95="","",ROUND(SUMIFS(Compras!$L$2:$L$5000,Compras!$A$2:$A$5000,$A95),2))</f>
        <v/>
      </c>
      <c r="F95" s="24">
        <f>IF($A95="","",ROUND($D95-$E95,2))</f>
        <v/>
      </c>
      <c r="G95" s="9">
        <f>IF($A95="","",IF(ABS($F95)&lt;=0.02,"OK","REVISAR"))</f>
        <v/>
      </c>
      <c r="H95" s="9" t="n"/>
      <c r="I95" s="9" t="n"/>
      <c r="J95" s="9" t="n"/>
      <c r="K95" s="9" t="n"/>
      <c r="L95" s="9" t="n"/>
      <c r="M95" s="9">
        <f>IF($A95="","",IF(COUNTIFS($B$2:$B$1000,$B95,$C$2:$C$1000,$C95,$D$2:$D$1000,$D95,$H$2:$H$1000,$H95)&gt;1,"DUPLICADO",""))</f>
        <v/>
      </c>
    </row>
    <row r="96">
      <c r="A96" s="9" t="n"/>
      <c r="B96" s="30" t="n"/>
      <c r="C96" s="9" t="n"/>
      <c r="D96" s="24" t="n"/>
      <c r="E96" s="24">
        <f>IF($A96="","",ROUND(SUMIFS(Compras!$L$2:$L$5000,Compras!$A$2:$A$5000,$A96),2))</f>
        <v/>
      </c>
      <c r="F96" s="24">
        <f>IF($A96="","",ROUND($D96-$E96,2))</f>
        <v/>
      </c>
      <c r="G96" s="9">
        <f>IF($A96="","",IF(ABS($F96)&lt;=0.02,"OK","REVISAR"))</f>
        <v/>
      </c>
      <c r="H96" s="9" t="n"/>
      <c r="I96" s="9" t="n"/>
      <c r="J96" s="9" t="n"/>
      <c r="K96" s="9" t="n"/>
      <c r="L96" s="9" t="n"/>
      <c r="M96" s="9">
        <f>IF($A96="","",IF(COUNTIFS($B$2:$B$1000,$B96,$C$2:$C$1000,$C96,$D$2:$D$1000,$D96,$H$2:$H$1000,$H96)&gt;1,"DUPLICADO",""))</f>
        <v/>
      </c>
    </row>
    <row r="97">
      <c r="A97" s="9" t="n"/>
      <c r="B97" s="30" t="n"/>
      <c r="C97" s="9" t="n"/>
      <c r="D97" s="24" t="n"/>
      <c r="E97" s="24">
        <f>IF($A97="","",ROUND(SUMIFS(Compras!$L$2:$L$5000,Compras!$A$2:$A$5000,$A97),2))</f>
        <v/>
      </c>
      <c r="F97" s="24">
        <f>IF($A97="","",ROUND($D97-$E97,2))</f>
        <v/>
      </c>
      <c r="G97" s="9">
        <f>IF($A97="","",IF(ABS($F97)&lt;=0.02,"OK","REVISAR"))</f>
        <v/>
      </c>
      <c r="H97" s="9" t="n"/>
      <c r="I97" s="9" t="n"/>
      <c r="J97" s="9" t="n"/>
      <c r="K97" s="9" t="n"/>
      <c r="L97" s="9" t="n"/>
      <c r="M97" s="9">
        <f>IF($A97="","",IF(COUNTIFS($B$2:$B$1000,$B97,$C$2:$C$1000,$C97,$D$2:$D$1000,$D97,$H$2:$H$1000,$H97)&gt;1,"DUPLICADO",""))</f>
        <v/>
      </c>
    </row>
    <row r="98">
      <c r="A98" s="9" t="n"/>
      <c r="B98" s="30" t="n"/>
      <c r="C98" s="9" t="n"/>
      <c r="D98" s="24" t="n"/>
      <c r="E98" s="24">
        <f>IF($A98="","",ROUND(SUMIFS(Compras!$L$2:$L$5000,Compras!$A$2:$A$5000,$A98),2))</f>
        <v/>
      </c>
      <c r="F98" s="24">
        <f>IF($A98="","",ROUND($D98-$E98,2))</f>
        <v/>
      </c>
      <c r="G98" s="9">
        <f>IF($A98="","",IF(ABS($F98)&lt;=0.02,"OK","REVISAR"))</f>
        <v/>
      </c>
      <c r="H98" s="9" t="n"/>
      <c r="I98" s="9" t="n"/>
      <c r="J98" s="9" t="n"/>
      <c r="K98" s="9" t="n"/>
      <c r="L98" s="9" t="n"/>
      <c r="M98" s="9">
        <f>IF($A98="","",IF(COUNTIFS($B$2:$B$1000,$B98,$C$2:$C$1000,$C98,$D$2:$D$1000,$D98,$H$2:$H$1000,$H98)&gt;1,"DUPLICADO",""))</f>
        <v/>
      </c>
    </row>
    <row r="99">
      <c r="A99" s="9" t="n"/>
      <c r="B99" s="30" t="n"/>
      <c r="C99" s="9" t="n"/>
      <c r="D99" s="24" t="n"/>
      <c r="E99" s="24">
        <f>IF($A99="","",ROUND(SUMIFS(Compras!$L$2:$L$5000,Compras!$A$2:$A$5000,$A99),2))</f>
        <v/>
      </c>
      <c r="F99" s="24">
        <f>IF($A99="","",ROUND($D99-$E99,2))</f>
        <v/>
      </c>
      <c r="G99" s="9">
        <f>IF($A99="","",IF(ABS($F99)&lt;=0.02,"OK","REVISAR"))</f>
        <v/>
      </c>
      <c r="H99" s="9" t="n"/>
      <c r="I99" s="9" t="n"/>
      <c r="J99" s="9" t="n"/>
      <c r="K99" s="9" t="n"/>
      <c r="L99" s="9" t="n"/>
      <c r="M99" s="9">
        <f>IF($A99="","",IF(COUNTIFS($B$2:$B$1000,$B99,$C$2:$C$1000,$C99,$D$2:$D$1000,$D99,$H$2:$H$1000,$H99)&gt;1,"DUPLICADO",""))</f>
        <v/>
      </c>
    </row>
    <row r="100">
      <c r="A100" s="9" t="n"/>
      <c r="B100" s="30" t="n"/>
      <c r="C100" s="9" t="n"/>
      <c r="D100" s="24" t="n"/>
      <c r="E100" s="24">
        <f>IF($A100="","",ROUND(SUMIFS(Compras!$L$2:$L$5000,Compras!$A$2:$A$5000,$A100),2))</f>
        <v/>
      </c>
      <c r="F100" s="24">
        <f>IF($A100="","",ROUND($D100-$E100,2))</f>
        <v/>
      </c>
      <c r="G100" s="9">
        <f>IF($A100="","",IF(ABS($F100)&lt;=0.02,"OK","REVISAR"))</f>
        <v/>
      </c>
      <c r="H100" s="9" t="n"/>
      <c r="I100" s="9" t="n"/>
      <c r="J100" s="9" t="n"/>
      <c r="K100" s="9" t="n"/>
      <c r="L100" s="9" t="n"/>
      <c r="M100" s="9">
        <f>IF($A100="","",IF(COUNTIFS($B$2:$B$1000,$B100,$C$2:$C$1000,$C100,$D$2:$D$1000,$D100,$H$2:$H$1000,$H100)&gt;1,"DUPLICADO",""))</f>
        <v/>
      </c>
    </row>
    <row r="101">
      <c r="A101" s="9" t="n"/>
      <c r="B101" s="30" t="n"/>
      <c r="C101" s="9" t="n"/>
      <c r="D101" s="24" t="n"/>
      <c r="E101" s="24">
        <f>IF($A101="","",ROUND(SUMIFS(Compras!$L$2:$L$5000,Compras!$A$2:$A$5000,$A101),2))</f>
        <v/>
      </c>
      <c r="F101" s="24">
        <f>IF($A101="","",ROUND($D101-$E101,2))</f>
        <v/>
      </c>
      <c r="G101" s="9">
        <f>IF($A101="","",IF(ABS($F101)&lt;=0.02,"OK","REVISAR"))</f>
        <v/>
      </c>
      <c r="H101" s="9" t="n"/>
      <c r="I101" s="9" t="n"/>
      <c r="J101" s="9" t="n"/>
      <c r="K101" s="9" t="n"/>
      <c r="L101" s="9" t="n"/>
      <c r="M101" s="9">
        <f>IF($A101="","",IF(COUNTIFS($B$2:$B$1000,$B101,$C$2:$C$1000,$C101,$D$2:$D$1000,$D101,$H$2:$H$1000,$H101)&gt;1,"DUPLICADO",""))</f>
        <v/>
      </c>
    </row>
    <row r="102">
      <c r="A102" s="9" t="n"/>
      <c r="B102" s="30" t="n"/>
      <c r="C102" s="9" t="n"/>
      <c r="D102" s="24" t="n"/>
      <c r="E102" s="24">
        <f>IF($A102="","",ROUND(SUMIFS(Compras!$L$2:$L$5000,Compras!$A$2:$A$5000,$A102),2))</f>
        <v/>
      </c>
      <c r="F102" s="24">
        <f>IF($A102="","",ROUND($D102-$E102,2))</f>
        <v/>
      </c>
      <c r="G102" s="9">
        <f>IF($A102="","",IF(ABS($F102)&lt;=0.02,"OK","REVISAR"))</f>
        <v/>
      </c>
      <c r="H102" s="9" t="n"/>
      <c r="I102" s="9" t="n"/>
      <c r="J102" s="9" t="n"/>
      <c r="K102" s="9" t="n"/>
      <c r="L102" s="9" t="n"/>
      <c r="M102" s="9">
        <f>IF($A102="","",IF(COUNTIFS($B$2:$B$1000,$B102,$C$2:$C$1000,$C102,$D$2:$D$1000,$D102,$H$2:$H$1000,$H102)&gt;1,"DUPLICADO",""))</f>
        <v/>
      </c>
    </row>
    <row r="103">
      <c r="A103" s="9" t="n"/>
      <c r="B103" s="30" t="n"/>
      <c r="C103" s="9" t="n"/>
      <c r="D103" s="24" t="n"/>
      <c r="E103" s="24">
        <f>IF($A103="","",ROUND(SUMIFS(Compras!$L$2:$L$5000,Compras!$A$2:$A$5000,$A103),2))</f>
        <v/>
      </c>
      <c r="F103" s="24">
        <f>IF($A103="","",ROUND($D103-$E103,2))</f>
        <v/>
      </c>
      <c r="G103" s="9">
        <f>IF($A103="","",IF(ABS($F103)&lt;=0.02,"OK","REVISAR"))</f>
        <v/>
      </c>
      <c r="H103" s="9" t="n"/>
      <c r="I103" s="9" t="n"/>
      <c r="J103" s="9" t="n"/>
      <c r="K103" s="9" t="n"/>
      <c r="L103" s="9" t="n"/>
      <c r="M103" s="9">
        <f>IF($A103="","",IF(COUNTIFS($B$2:$B$1000,$B103,$C$2:$C$1000,$C103,$D$2:$D$1000,$D103,$H$2:$H$1000,$H103)&gt;1,"DUPLICADO",""))</f>
        <v/>
      </c>
    </row>
    <row r="104">
      <c r="A104" s="9" t="n"/>
      <c r="B104" s="30" t="n"/>
      <c r="C104" s="9" t="n"/>
      <c r="D104" s="24" t="n"/>
      <c r="E104" s="24">
        <f>IF($A104="","",ROUND(SUMIFS(Compras!$L$2:$L$5000,Compras!$A$2:$A$5000,$A104),2))</f>
        <v/>
      </c>
      <c r="F104" s="24">
        <f>IF($A104="","",ROUND($D104-$E104,2))</f>
        <v/>
      </c>
      <c r="G104" s="9">
        <f>IF($A104="","",IF(ABS($F104)&lt;=0.02,"OK","REVISAR"))</f>
        <v/>
      </c>
      <c r="H104" s="9" t="n"/>
      <c r="I104" s="9" t="n"/>
      <c r="J104" s="9" t="n"/>
      <c r="K104" s="9" t="n"/>
      <c r="L104" s="9" t="n"/>
      <c r="M104" s="9">
        <f>IF($A104="","",IF(COUNTIFS($B$2:$B$1000,$B104,$C$2:$C$1000,$C104,$D$2:$D$1000,$D104,$H$2:$H$1000,$H104)&gt;1,"DUPLICADO",""))</f>
        <v/>
      </c>
    </row>
    <row r="105">
      <c r="A105" s="9" t="n"/>
      <c r="B105" s="30" t="n"/>
      <c r="C105" s="9" t="n"/>
      <c r="D105" s="24" t="n"/>
      <c r="E105" s="24">
        <f>IF($A105="","",ROUND(SUMIFS(Compras!$L$2:$L$5000,Compras!$A$2:$A$5000,$A105),2))</f>
        <v/>
      </c>
      <c r="F105" s="24">
        <f>IF($A105="","",ROUND($D105-$E105,2))</f>
        <v/>
      </c>
      <c r="G105" s="9">
        <f>IF($A105="","",IF(ABS($F105)&lt;=0.02,"OK","REVISAR"))</f>
        <v/>
      </c>
      <c r="H105" s="9" t="n"/>
      <c r="I105" s="9" t="n"/>
      <c r="J105" s="9" t="n"/>
      <c r="K105" s="9" t="n"/>
      <c r="L105" s="9" t="n"/>
      <c r="M105" s="9">
        <f>IF($A105="","",IF(COUNTIFS($B$2:$B$1000,$B105,$C$2:$C$1000,$C105,$D$2:$D$1000,$D105,$H$2:$H$1000,$H105)&gt;1,"DUPLICADO",""))</f>
        <v/>
      </c>
    </row>
    <row r="106">
      <c r="A106" s="9" t="n"/>
      <c r="B106" s="30" t="n"/>
      <c r="C106" s="9" t="n"/>
      <c r="D106" s="24" t="n"/>
      <c r="E106" s="24">
        <f>IF($A106="","",ROUND(SUMIFS(Compras!$L$2:$L$5000,Compras!$A$2:$A$5000,$A106),2))</f>
        <v/>
      </c>
      <c r="F106" s="24">
        <f>IF($A106="","",ROUND($D106-$E106,2))</f>
        <v/>
      </c>
      <c r="G106" s="9">
        <f>IF($A106="","",IF(ABS($F106)&lt;=0.02,"OK","REVISAR"))</f>
        <v/>
      </c>
      <c r="H106" s="9" t="n"/>
      <c r="I106" s="9" t="n"/>
      <c r="J106" s="9" t="n"/>
      <c r="K106" s="9" t="n"/>
      <c r="L106" s="9" t="n"/>
      <c r="M106" s="9">
        <f>IF($A106="","",IF(COUNTIFS($B$2:$B$1000,$B106,$C$2:$C$1000,$C106,$D$2:$D$1000,$D106,$H$2:$H$1000,$H106)&gt;1,"DUPLICADO",""))</f>
        <v/>
      </c>
    </row>
    <row r="107">
      <c r="A107" s="9" t="n"/>
      <c r="B107" s="30" t="n"/>
      <c r="C107" s="9" t="n"/>
      <c r="D107" s="24" t="n"/>
      <c r="E107" s="24">
        <f>IF($A107="","",ROUND(SUMIFS(Compras!$L$2:$L$5000,Compras!$A$2:$A$5000,$A107),2))</f>
        <v/>
      </c>
      <c r="F107" s="24">
        <f>IF($A107="","",ROUND($D107-$E107,2))</f>
        <v/>
      </c>
      <c r="G107" s="9">
        <f>IF($A107="","",IF(ABS($F107)&lt;=0.02,"OK","REVISAR"))</f>
        <v/>
      </c>
      <c r="H107" s="9" t="n"/>
      <c r="I107" s="9" t="n"/>
      <c r="J107" s="9" t="n"/>
      <c r="K107" s="9" t="n"/>
      <c r="L107" s="9" t="n"/>
      <c r="M107" s="9">
        <f>IF($A107="","",IF(COUNTIFS($B$2:$B$1000,$B107,$C$2:$C$1000,$C107,$D$2:$D$1000,$D107,$H$2:$H$1000,$H107)&gt;1,"DUPLICADO",""))</f>
        <v/>
      </c>
    </row>
    <row r="108">
      <c r="A108" s="9" t="n"/>
      <c r="B108" s="30" t="n"/>
      <c r="C108" s="9" t="n"/>
      <c r="D108" s="24" t="n"/>
      <c r="E108" s="24">
        <f>IF($A108="","",ROUND(SUMIFS(Compras!$L$2:$L$5000,Compras!$A$2:$A$5000,$A108),2))</f>
        <v/>
      </c>
      <c r="F108" s="24">
        <f>IF($A108="","",ROUND($D108-$E108,2))</f>
        <v/>
      </c>
      <c r="G108" s="9">
        <f>IF($A108="","",IF(ABS($F108)&lt;=0.02,"OK","REVISAR"))</f>
        <v/>
      </c>
      <c r="H108" s="9" t="n"/>
      <c r="I108" s="9" t="n"/>
      <c r="J108" s="9" t="n"/>
      <c r="K108" s="9" t="n"/>
      <c r="L108" s="9" t="n"/>
      <c r="M108" s="9">
        <f>IF($A108="","",IF(COUNTIFS($B$2:$B$1000,$B108,$C$2:$C$1000,$C108,$D$2:$D$1000,$D108,$H$2:$H$1000,$H108)&gt;1,"DUPLICADO",""))</f>
        <v/>
      </c>
    </row>
    <row r="109">
      <c r="A109" s="9" t="n"/>
      <c r="B109" s="30" t="n"/>
      <c r="C109" s="9" t="n"/>
      <c r="D109" s="24" t="n"/>
      <c r="E109" s="24">
        <f>IF($A109="","",ROUND(SUMIFS(Compras!$L$2:$L$5000,Compras!$A$2:$A$5000,$A109),2))</f>
        <v/>
      </c>
      <c r="F109" s="24">
        <f>IF($A109="","",ROUND($D109-$E109,2))</f>
        <v/>
      </c>
      <c r="G109" s="9">
        <f>IF($A109="","",IF(ABS($F109)&lt;=0.02,"OK","REVISAR"))</f>
        <v/>
      </c>
      <c r="H109" s="9" t="n"/>
      <c r="I109" s="9" t="n"/>
      <c r="J109" s="9" t="n"/>
      <c r="K109" s="9" t="n"/>
      <c r="L109" s="9" t="n"/>
      <c r="M109" s="9">
        <f>IF($A109="","",IF(COUNTIFS($B$2:$B$1000,$B109,$C$2:$C$1000,$C109,$D$2:$D$1000,$D109,$H$2:$H$1000,$H109)&gt;1,"DUPLICADO",""))</f>
        <v/>
      </c>
    </row>
    <row r="110">
      <c r="A110" s="9" t="n"/>
      <c r="B110" s="30" t="n"/>
      <c r="C110" s="9" t="n"/>
      <c r="D110" s="24" t="n"/>
      <c r="E110" s="24">
        <f>IF($A110="","",ROUND(SUMIFS(Compras!$L$2:$L$5000,Compras!$A$2:$A$5000,$A110),2))</f>
        <v/>
      </c>
      <c r="F110" s="24">
        <f>IF($A110="","",ROUND($D110-$E110,2))</f>
        <v/>
      </c>
      <c r="G110" s="9">
        <f>IF($A110="","",IF(ABS($F110)&lt;=0.02,"OK","REVISAR"))</f>
        <v/>
      </c>
      <c r="H110" s="9" t="n"/>
      <c r="I110" s="9" t="n"/>
      <c r="J110" s="9" t="n"/>
      <c r="K110" s="9" t="n"/>
      <c r="L110" s="9" t="n"/>
      <c r="M110" s="9">
        <f>IF($A110="","",IF(COUNTIFS($B$2:$B$1000,$B110,$C$2:$C$1000,$C110,$D$2:$D$1000,$D110,$H$2:$H$1000,$H110)&gt;1,"DUPLICADO",""))</f>
        <v/>
      </c>
    </row>
    <row r="111">
      <c r="A111" s="9" t="n"/>
      <c r="B111" s="30" t="n"/>
      <c r="C111" s="9" t="n"/>
      <c r="D111" s="24" t="n"/>
      <c r="E111" s="24">
        <f>IF($A111="","",ROUND(SUMIFS(Compras!$L$2:$L$5000,Compras!$A$2:$A$5000,$A111),2))</f>
        <v/>
      </c>
      <c r="F111" s="24">
        <f>IF($A111="","",ROUND($D111-$E111,2))</f>
        <v/>
      </c>
      <c r="G111" s="9">
        <f>IF($A111="","",IF(ABS($F111)&lt;=0.02,"OK","REVISAR"))</f>
        <v/>
      </c>
      <c r="H111" s="9" t="n"/>
      <c r="I111" s="9" t="n"/>
      <c r="J111" s="9" t="n"/>
      <c r="K111" s="9" t="n"/>
      <c r="L111" s="9" t="n"/>
      <c r="M111" s="9">
        <f>IF($A111="","",IF(COUNTIFS($B$2:$B$1000,$B111,$C$2:$C$1000,$C111,$D$2:$D$1000,$D111,$H$2:$H$1000,$H111)&gt;1,"DUPLICADO",""))</f>
        <v/>
      </c>
    </row>
    <row r="112">
      <c r="A112" s="9" t="n"/>
      <c r="B112" s="30" t="n"/>
      <c r="C112" s="9" t="n"/>
      <c r="D112" s="24" t="n"/>
      <c r="E112" s="24">
        <f>IF($A112="","",ROUND(SUMIFS(Compras!$L$2:$L$5000,Compras!$A$2:$A$5000,$A112),2))</f>
        <v/>
      </c>
      <c r="F112" s="24">
        <f>IF($A112="","",ROUND($D112-$E112,2))</f>
        <v/>
      </c>
      <c r="G112" s="9">
        <f>IF($A112="","",IF(ABS($F112)&lt;=0.02,"OK","REVISAR"))</f>
        <v/>
      </c>
      <c r="H112" s="9" t="n"/>
      <c r="I112" s="9" t="n"/>
      <c r="J112" s="9" t="n"/>
      <c r="K112" s="9" t="n"/>
      <c r="L112" s="9" t="n"/>
      <c r="M112" s="9">
        <f>IF($A112="","",IF(COUNTIFS($B$2:$B$1000,$B112,$C$2:$C$1000,$C112,$D$2:$D$1000,$D112,$H$2:$H$1000,$H112)&gt;1,"DUPLICADO",""))</f>
        <v/>
      </c>
    </row>
    <row r="113">
      <c r="A113" s="9" t="n"/>
      <c r="B113" s="30" t="n"/>
      <c r="C113" s="9" t="n"/>
      <c r="D113" s="24" t="n"/>
      <c r="E113" s="24">
        <f>IF($A113="","",ROUND(SUMIFS(Compras!$L$2:$L$5000,Compras!$A$2:$A$5000,$A113),2))</f>
        <v/>
      </c>
      <c r="F113" s="24">
        <f>IF($A113="","",ROUND($D113-$E113,2))</f>
        <v/>
      </c>
      <c r="G113" s="9">
        <f>IF($A113="","",IF(ABS($F113)&lt;=0.02,"OK","REVISAR"))</f>
        <v/>
      </c>
      <c r="H113" s="9" t="n"/>
      <c r="I113" s="9" t="n"/>
      <c r="J113" s="9" t="n"/>
      <c r="K113" s="9" t="n"/>
      <c r="L113" s="9" t="n"/>
      <c r="M113" s="9">
        <f>IF($A113="","",IF(COUNTIFS($B$2:$B$1000,$B113,$C$2:$C$1000,$C113,$D$2:$D$1000,$D113,$H$2:$H$1000,$H113)&gt;1,"DUPLICADO",""))</f>
        <v/>
      </c>
    </row>
    <row r="114">
      <c r="A114" s="9" t="n"/>
      <c r="B114" s="30" t="n"/>
      <c r="C114" s="9" t="n"/>
      <c r="D114" s="24" t="n"/>
      <c r="E114" s="24">
        <f>IF($A114="","",ROUND(SUMIFS(Compras!$L$2:$L$5000,Compras!$A$2:$A$5000,$A114),2))</f>
        <v/>
      </c>
      <c r="F114" s="24">
        <f>IF($A114="","",ROUND($D114-$E114,2))</f>
        <v/>
      </c>
      <c r="G114" s="9">
        <f>IF($A114="","",IF(ABS($F114)&lt;=0.02,"OK","REVISAR"))</f>
        <v/>
      </c>
      <c r="H114" s="9" t="n"/>
      <c r="I114" s="9" t="n"/>
      <c r="J114" s="9" t="n"/>
      <c r="K114" s="9" t="n"/>
      <c r="L114" s="9" t="n"/>
      <c r="M114" s="9">
        <f>IF($A114="","",IF(COUNTIFS($B$2:$B$1000,$B114,$C$2:$C$1000,$C114,$D$2:$D$1000,$D114,$H$2:$H$1000,$H114)&gt;1,"DUPLICADO",""))</f>
        <v/>
      </c>
    </row>
    <row r="115">
      <c r="A115" s="9" t="n"/>
      <c r="B115" s="30" t="n"/>
      <c r="C115" s="9" t="n"/>
      <c r="D115" s="24" t="n"/>
      <c r="E115" s="24">
        <f>IF($A115="","",ROUND(SUMIFS(Compras!$L$2:$L$5000,Compras!$A$2:$A$5000,$A115),2))</f>
        <v/>
      </c>
      <c r="F115" s="24">
        <f>IF($A115="","",ROUND($D115-$E115,2))</f>
        <v/>
      </c>
      <c r="G115" s="9">
        <f>IF($A115="","",IF(ABS($F115)&lt;=0.02,"OK","REVISAR"))</f>
        <v/>
      </c>
      <c r="H115" s="9" t="n"/>
      <c r="I115" s="9" t="n"/>
      <c r="J115" s="9" t="n"/>
      <c r="K115" s="9" t="n"/>
      <c r="L115" s="9" t="n"/>
      <c r="M115" s="9">
        <f>IF($A115="","",IF(COUNTIFS($B$2:$B$1000,$B115,$C$2:$C$1000,$C115,$D$2:$D$1000,$D115,$H$2:$H$1000,$H115)&gt;1,"DUPLICADO",""))</f>
        <v/>
      </c>
    </row>
    <row r="116">
      <c r="A116" s="9" t="n"/>
      <c r="B116" s="30" t="n"/>
      <c r="C116" s="9" t="n"/>
      <c r="D116" s="24" t="n"/>
      <c r="E116" s="24">
        <f>IF($A116="","",ROUND(SUMIFS(Compras!$L$2:$L$5000,Compras!$A$2:$A$5000,$A116),2))</f>
        <v/>
      </c>
      <c r="F116" s="24">
        <f>IF($A116="","",ROUND($D116-$E116,2))</f>
        <v/>
      </c>
      <c r="G116" s="9">
        <f>IF($A116="","",IF(ABS($F116)&lt;=0.02,"OK","REVISAR"))</f>
        <v/>
      </c>
      <c r="H116" s="9" t="n"/>
      <c r="I116" s="9" t="n"/>
      <c r="J116" s="9" t="n"/>
      <c r="K116" s="9" t="n"/>
      <c r="L116" s="9" t="n"/>
      <c r="M116" s="9">
        <f>IF($A116="","",IF(COUNTIFS($B$2:$B$1000,$B116,$C$2:$C$1000,$C116,$D$2:$D$1000,$D116,$H$2:$H$1000,$H116)&gt;1,"DUPLICADO",""))</f>
        <v/>
      </c>
    </row>
    <row r="117">
      <c r="A117" s="9" t="n"/>
      <c r="B117" s="30" t="n"/>
      <c r="C117" s="9" t="n"/>
      <c r="D117" s="24" t="n"/>
      <c r="E117" s="24">
        <f>IF($A117="","",ROUND(SUMIFS(Compras!$L$2:$L$5000,Compras!$A$2:$A$5000,$A117),2))</f>
        <v/>
      </c>
      <c r="F117" s="24">
        <f>IF($A117="","",ROUND($D117-$E117,2))</f>
        <v/>
      </c>
      <c r="G117" s="9">
        <f>IF($A117="","",IF(ABS($F117)&lt;=0.02,"OK","REVISAR"))</f>
        <v/>
      </c>
      <c r="H117" s="9" t="n"/>
      <c r="I117" s="9" t="n"/>
      <c r="J117" s="9" t="n"/>
      <c r="K117" s="9" t="n"/>
      <c r="L117" s="9" t="n"/>
      <c r="M117" s="9">
        <f>IF($A117="","",IF(COUNTIFS($B$2:$B$1000,$B117,$C$2:$C$1000,$C117,$D$2:$D$1000,$D117,$H$2:$H$1000,$H117)&gt;1,"DUPLICADO",""))</f>
        <v/>
      </c>
    </row>
    <row r="118">
      <c r="A118" s="9" t="n"/>
      <c r="B118" s="30" t="n"/>
      <c r="C118" s="9" t="n"/>
      <c r="D118" s="24" t="n"/>
      <c r="E118" s="24">
        <f>IF($A118="","",ROUND(SUMIFS(Compras!$L$2:$L$5000,Compras!$A$2:$A$5000,$A118),2))</f>
        <v/>
      </c>
      <c r="F118" s="24">
        <f>IF($A118="","",ROUND($D118-$E118,2))</f>
        <v/>
      </c>
      <c r="G118" s="9">
        <f>IF($A118="","",IF(ABS($F118)&lt;=0.02,"OK","REVISAR"))</f>
        <v/>
      </c>
      <c r="H118" s="9" t="n"/>
      <c r="I118" s="9" t="n"/>
      <c r="J118" s="9" t="n"/>
      <c r="K118" s="9" t="n"/>
      <c r="L118" s="9" t="n"/>
      <c r="M118" s="9">
        <f>IF($A118="","",IF(COUNTIFS($B$2:$B$1000,$B118,$C$2:$C$1000,$C118,$D$2:$D$1000,$D118,$H$2:$H$1000,$H118)&gt;1,"DUPLICADO",""))</f>
        <v/>
      </c>
    </row>
    <row r="119">
      <c r="A119" s="9" t="n"/>
      <c r="B119" s="30" t="n"/>
      <c r="C119" s="9" t="n"/>
      <c r="D119" s="24" t="n"/>
      <c r="E119" s="24">
        <f>IF($A119="","",ROUND(SUMIFS(Compras!$L$2:$L$5000,Compras!$A$2:$A$5000,$A119),2))</f>
        <v/>
      </c>
      <c r="F119" s="24">
        <f>IF($A119="","",ROUND($D119-$E119,2))</f>
        <v/>
      </c>
      <c r="G119" s="9">
        <f>IF($A119="","",IF(ABS($F119)&lt;=0.02,"OK","REVISAR"))</f>
        <v/>
      </c>
      <c r="H119" s="9" t="n"/>
      <c r="I119" s="9" t="n"/>
      <c r="J119" s="9" t="n"/>
      <c r="K119" s="9" t="n"/>
      <c r="L119" s="9" t="n"/>
      <c r="M119" s="9">
        <f>IF($A119="","",IF(COUNTIFS($B$2:$B$1000,$B119,$C$2:$C$1000,$C119,$D$2:$D$1000,$D119,$H$2:$H$1000,$H119)&gt;1,"DUPLICADO",""))</f>
        <v/>
      </c>
    </row>
    <row r="120">
      <c r="A120" s="9" t="n"/>
      <c r="B120" s="30" t="n"/>
      <c r="C120" s="9" t="n"/>
      <c r="D120" s="24" t="n"/>
      <c r="E120" s="24">
        <f>IF($A120="","",ROUND(SUMIFS(Compras!$L$2:$L$5000,Compras!$A$2:$A$5000,$A120),2))</f>
        <v/>
      </c>
      <c r="F120" s="24">
        <f>IF($A120="","",ROUND($D120-$E120,2))</f>
        <v/>
      </c>
      <c r="G120" s="9">
        <f>IF($A120="","",IF(ABS($F120)&lt;=0.02,"OK","REVISAR"))</f>
        <v/>
      </c>
      <c r="H120" s="9" t="n"/>
      <c r="I120" s="9" t="n"/>
      <c r="J120" s="9" t="n"/>
      <c r="K120" s="9" t="n"/>
      <c r="L120" s="9" t="n"/>
      <c r="M120" s="9">
        <f>IF($A120="","",IF(COUNTIFS($B$2:$B$1000,$B120,$C$2:$C$1000,$C120,$D$2:$D$1000,$D120,$H$2:$H$1000,$H120)&gt;1,"DUPLICADO",""))</f>
        <v/>
      </c>
    </row>
    <row r="121">
      <c r="A121" s="9" t="n"/>
      <c r="B121" s="30" t="n"/>
      <c r="C121" s="9" t="n"/>
      <c r="D121" s="24" t="n"/>
      <c r="E121" s="24">
        <f>IF($A121="","",ROUND(SUMIFS(Compras!$L$2:$L$5000,Compras!$A$2:$A$5000,$A121),2))</f>
        <v/>
      </c>
      <c r="F121" s="24">
        <f>IF($A121="","",ROUND($D121-$E121,2))</f>
        <v/>
      </c>
      <c r="G121" s="9">
        <f>IF($A121="","",IF(ABS($F121)&lt;=0.02,"OK","REVISAR"))</f>
        <v/>
      </c>
      <c r="H121" s="9" t="n"/>
      <c r="I121" s="9" t="n"/>
      <c r="J121" s="9" t="n"/>
      <c r="K121" s="9" t="n"/>
      <c r="L121" s="9" t="n"/>
      <c r="M121" s="9">
        <f>IF($A121="","",IF(COUNTIFS($B$2:$B$1000,$B121,$C$2:$C$1000,$C121,$D$2:$D$1000,$D121,$H$2:$H$1000,$H121)&gt;1,"DUPLICADO",""))</f>
        <v/>
      </c>
    </row>
    <row r="122">
      <c r="A122" s="9" t="n"/>
      <c r="B122" s="30" t="n"/>
      <c r="C122" s="9" t="n"/>
      <c r="D122" s="24" t="n"/>
      <c r="E122" s="24">
        <f>IF($A122="","",ROUND(SUMIFS(Compras!$L$2:$L$5000,Compras!$A$2:$A$5000,$A122),2))</f>
        <v/>
      </c>
      <c r="F122" s="24">
        <f>IF($A122="","",ROUND($D122-$E122,2))</f>
        <v/>
      </c>
      <c r="G122" s="9">
        <f>IF($A122="","",IF(ABS($F122)&lt;=0.02,"OK","REVISAR"))</f>
        <v/>
      </c>
      <c r="H122" s="9" t="n"/>
      <c r="I122" s="9" t="n"/>
      <c r="J122" s="9" t="n"/>
      <c r="K122" s="9" t="n"/>
      <c r="L122" s="9" t="n"/>
      <c r="M122" s="9">
        <f>IF($A122="","",IF(COUNTIFS($B$2:$B$1000,$B122,$C$2:$C$1000,$C122,$D$2:$D$1000,$D122,$H$2:$H$1000,$H122)&gt;1,"DUPLICADO",""))</f>
        <v/>
      </c>
    </row>
    <row r="123">
      <c r="A123" s="9" t="n"/>
      <c r="B123" s="30" t="n"/>
      <c r="C123" s="9" t="n"/>
      <c r="D123" s="24" t="n"/>
      <c r="E123" s="24">
        <f>IF($A123="","",ROUND(SUMIFS(Compras!$L$2:$L$5000,Compras!$A$2:$A$5000,$A123),2))</f>
        <v/>
      </c>
      <c r="F123" s="24">
        <f>IF($A123="","",ROUND($D123-$E123,2))</f>
        <v/>
      </c>
      <c r="G123" s="9">
        <f>IF($A123="","",IF(ABS($F123)&lt;=0.02,"OK","REVISAR"))</f>
        <v/>
      </c>
      <c r="H123" s="9" t="n"/>
      <c r="I123" s="9" t="n"/>
      <c r="J123" s="9" t="n"/>
      <c r="K123" s="9" t="n"/>
      <c r="L123" s="9" t="n"/>
      <c r="M123" s="9">
        <f>IF($A123="","",IF(COUNTIFS($B$2:$B$1000,$B123,$C$2:$C$1000,$C123,$D$2:$D$1000,$D123,$H$2:$H$1000,$H123)&gt;1,"DUPLICADO",""))</f>
        <v/>
      </c>
    </row>
    <row r="124">
      <c r="A124" s="9" t="n"/>
      <c r="B124" s="30" t="n"/>
      <c r="C124" s="9" t="n"/>
      <c r="D124" s="24" t="n"/>
      <c r="E124" s="24">
        <f>IF($A124="","",ROUND(SUMIFS(Compras!$L$2:$L$5000,Compras!$A$2:$A$5000,$A124),2))</f>
        <v/>
      </c>
      <c r="F124" s="24">
        <f>IF($A124="","",ROUND($D124-$E124,2))</f>
        <v/>
      </c>
      <c r="G124" s="9">
        <f>IF($A124="","",IF(ABS($F124)&lt;=0.02,"OK","REVISAR"))</f>
        <v/>
      </c>
      <c r="H124" s="9" t="n"/>
      <c r="I124" s="9" t="n"/>
      <c r="J124" s="9" t="n"/>
      <c r="K124" s="9" t="n"/>
      <c r="L124" s="9" t="n"/>
      <c r="M124" s="9">
        <f>IF($A124="","",IF(COUNTIFS($B$2:$B$1000,$B124,$C$2:$C$1000,$C124,$D$2:$D$1000,$D124,$H$2:$H$1000,$H124)&gt;1,"DUPLICADO",""))</f>
        <v/>
      </c>
    </row>
    <row r="125">
      <c r="A125" s="9" t="n"/>
      <c r="B125" s="30" t="n"/>
      <c r="C125" s="9" t="n"/>
      <c r="D125" s="24" t="n"/>
      <c r="E125" s="24">
        <f>IF($A125="","",ROUND(SUMIFS(Compras!$L$2:$L$5000,Compras!$A$2:$A$5000,$A125),2))</f>
        <v/>
      </c>
      <c r="F125" s="24">
        <f>IF($A125="","",ROUND($D125-$E125,2))</f>
        <v/>
      </c>
      <c r="G125" s="9">
        <f>IF($A125="","",IF(ABS($F125)&lt;=0.02,"OK","REVISAR"))</f>
        <v/>
      </c>
      <c r="H125" s="9" t="n"/>
      <c r="I125" s="9" t="n"/>
      <c r="J125" s="9" t="n"/>
      <c r="K125" s="9" t="n"/>
      <c r="L125" s="9" t="n"/>
      <c r="M125" s="9">
        <f>IF($A125="","",IF(COUNTIFS($B$2:$B$1000,$B125,$C$2:$C$1000,$C125,$D$2:$D$1000,$D125,$H$2:$H$1000,$H125)&gt;1,"DUPLICADO",""))</f>
        <v/>
      </c>
    </row>
    <row r="126">
      <c r="A126" s="9" t="n"/>
      <c r="B126" s="30" t="n"/>
      <c r="C126" s="9" t="n"/>
      <c r="D126" s="24" t="n"/>
      <c r="E126" s="24">
        <f>IF($A126="","",ROUND(SUMIFS(Compras!$L$2:$L$5000,Compras!$A$2:$A$5000,$A126),2))</f>
        <v/>
      </c>
      <c r="F126" s="24">
        <f>IF($A126="","",ROUND($D126-$E126,2))</f>
        <v/>
      </c>
      <c r="G126" s="9">
        <f>IF($A126="","",IF(ABS($F126)&lt;=0.02,"OK","REVISAR"))</f>
        <v/>
      </c>
      <c r="H126" s="9" t="n"/>
      <c r="I126" s="9" t="n"/>
      <c r="J126" s="9" t="n"/>
      <c r="K126" s="9" t="n"/>
      <c r="L126" s="9" t="n"/>
      <c r="M126" s="9">
        <f>IF($A126="","",IF(COUNTIFS($B$2:$B$1000,$B126,$C$2:$C$1000,$C126,$D$2:$D$1000,$D126,$H$2:$H$1000,$H126)&gt;1,"DUPLICADO",""))</f>
        <v/>
      </c>
    </row>
    <row r="127">
      <c r="A127" s="9" t="n"/>
      <c r="B127" s="30" t="n"/>
      <c r="C127" s="9" t="n"/>
      <c r="D127" s="24" t="n"/>
      <c r="E127" s="24">
        <f>IF($A127="","",ROUND(SUMIFS(Compras!$L$2:$L$5000,Compras!$A$2:$A$5000,$A127),2))</f>
        <v/>
      </c>
      <c r="F127" s="24">
        <f>IF($A127="","",ROUND($D127-$E127,2))</f>
        <v/>
      </c>
      <c r="G127" s="9">
        <f>IF($A127="","",IF(ABS($F127)&lt;=0.02,"OK","REVISAR"))</f>
        <v/>
      </c>
      <c r="H127" s="9" t="n"/>
      <c r="I127" s="9" t="n"/>
      <c r="J127" s="9" t="n"/>
      <c r="K127" s="9" t="n"/>
      <c r="L127" s="9" t="n"/>
      <c r="M127" s="9">
        <f>IF($A127="","",IF(COUNTIFS($B$2:$B$1000,$B127,$C$2:$C$1000,$C127,$D$2:$D$1000,$D127,$H$2:$H$1000,$H127)&gt;1,"DUPLICADO",""))</f>
        <v/>
      </c>
    </row>
    <row r="128">
      <c r="A128" s="9" t="n"/>
      <c r="B128" s="30" t="n"/>
      <c r="C128" s="9" t="n"/>
      <c r="D128" s="24" t="n"/>
      <c r="E128" s="24">
        <f>IF($A128="","",ROUND(SUMIFS(Compras!$L$2:$L$5000,Compras!$A$2:$A$5000,$A128),2))</f>
        <v/>
      </c>
      <c r="F128" s="24">
        <f>IF($A128="","",ROUND($D128-$E128,2))</f>
        <v/>
      </c>
      <c r="G128" s="9">
        <f>IF($A128="","",IF(ABS($F128)&lt;=0.02,"OK","REVISAR"))</f>
        <v/>
      </c>
      <c r="H128" s="9" t="n"/>
      <c r="I128" s="9" t="n"/>
      <c r="J128" s="9" t="n"/>
      <c r="K128" s="9" t="n"/>
      <c r="L128" s="9" t="n"/>
      <c r="M128" s="9">
        <f>IF($A128="","",IF(COUNTIFS($B$2:$B$1000,$B128,$C$2:$C$1000,$C128,$D$2:$D$1000,$D128,$H$2:$H$1000,$H128)&gt;1,"DUPLICADO",""))</f>
        <v/>
      </c>
    </row>
    <row r="129">
      <c r="A129" s="9" t="n"/>
      <c r="B129" s="30" t="n"/>
      <c r="C129" s="9" t="n"/>
      <c r="D129" s="24" t="n"/>
      <c r="E129" s="24">
        <f>IF($A129="","",ROUND(SUMIFS(Compras!$L$2:$L$5000,Compras!$A$2:$A$5000,$A129),2))</f>
        <v/>
      </c>
      <c r="F129" s="24">
        <f>IF($A129="","",ROUND($D129-$E129,2))</f>
        <v/>
      </c>
      <c r="G129" s="9">
        <f>IF($A129="","",IF(ABS($F129)&lt;=0.02,"OK","REVISAR"))</f>
        <v/>
      </c>
      <c r="H129" s="9" t="n"/>
      <c r="I129" s="9" t="n"/>
      <c r="J129" s="9" t="n"/>
      <c r="K129" s="9" t="n"/>
      <c r="L129" s="9" t="n"/>
      <c r="M129" s="9">
        <f>IF($A129="","",IF(COUNTIFS($B$2:$B$1000,$B129,$C$2:$C$1000,$C129,$D$2:$D$1000,$D129,$H$2:$H$1000,$H129)&gt;1,"DUPLICADO",""))</f>
        <v/>
      </c>
    </row>
    <row r="130">
      <c r="A130" s="9" t="n"/>
      <c r="B130" s="30" t="n"/>
      <c r="C130" s="9" t="n"/>
      <c r="D130" s="24" t="n"/>
      <c r="E130" s="24">
        <f>IF($A130="","",ROUND(SUMIFS(Compras!$L$2:$L$5000,Compras!$A$2:$A$5000,$A130),2))</f>
        <v/>
      </c>
      <c r="F130" s="24">
        <f>IF($A130="","",ROUND($D130-$E130,2))</f>
        <v/>
      </c>
      <c r="G130" s="9">
        <f>IF($A130="","",IF(ABS($F130)&lt;=0.02,"OK","REVISAR"))</f>
        <v/>
      </c>
      <c r="H130" s="9" t="n"/>
      <c r="I130" s="9" t="n"/>
      <c r="J130" s="9" t="n"/>
      <c r="K130" s="9" t="n"/>
      <c r="L130" s="9" t="n"/>
      <c r="M130" s="9">
        <f>IF($A130="","",IF(COUNTIFS($B$2:$B$1000,$B130,$C$2:$C$1000,$C130,$D$2:$D$1000,$D130,$H$2:$H$1000,$H130)&gt;1,"DUPLICADO",""))</f>
        <v/>
      </c>
    </row>
    <row r="131">
      <c r="A131" s="9" t="n"/>
      <c r="B131" s="30" t="n"/>
      <c r="C131" s="9" t="n"/>
      <c r="D131" s="24" t="n"/>
      <c r="E131" s="24">
        <f>IF($A131="","",ROUND(SUMIFS(Compras!$L$2:$L$5000,Compras!$A$2:$A$5000,$A131),2))</f>
        <v/>
      </c>
      <c r="F131" s="24">
        <f>IF($A131="","",ROUND($D131-$E131,2))</f>
        <v/>
      </c>
      <c r="G131" s="9">
        <f>IF($A131="","",IF(ABS($F131)&lt;=0.02,"OK","REVISAR"))</f>
        <v/>
      </c>
      <c r="H131" s="9" t="n"/>
      <c r="I131" s="9" t="n"/>
      <c r="J131" s="9" t="n"/>
      <c r="K131" s="9" t="n"/>
      <c r="L131" s="9" t="n"/>
      <c r="M131" s="9">
        <f>IF($A131="","",IF(COUNTIFS($B$2:$B$1000,$B131,$C$2:$C$1000,$C131,$D$2:$D$1000,$D131,$H$2:$H$1000,$H131)&gt;1,"DUPLICADO",""))</f>
        <v/>
      </c>
    </row>
    <row r="132">
      <c r="A132" s="9" t="n"/>
      <c r="B132" s="30" t="n"/>
      <c r="C132" s="9" t="n"/>
      <c r="D132" s="24" t="n"/>
      <c r="E132" s="24">
        <f>IF($A132="","",ROUND(SUMIFS(Compras!$L$2:$L$5000,Compras!$A$2:$A$5000,$A132),2))</f>
        <v/>
      </c>
      <c r="F132" s="24">
        <f>IF($A132="","",ROUND($D132-$E132,2))</f>
        <v/>
      </c>
      <c r="G132" s="9">
        <f>IF($A132="","",IF(ABS($F132)&lt;=0.02,"OK","REVISAR"))</f>
        <v/>
      </c>
      <c r="H132" s="9" t="n"/>
      <c r="I132" s="9" t="n"/>
      <c r="J132" s="9" t="n"/>
      <c r="K132" s="9" t="n"/>
      <c r="L132" s="9" t="n"/>
      <c r="M132" s="9">
        <f>IF($A132="","",IF(COUNTIFS($B$2:$B$1000,$B132,$C$2:$C$1000,$C132,$D$2:$D$1000,$D132,$H$2:$H$1000,$H132)&gt;1,"DUPLICADO",""))</f>
        <v/>
      </c>
    </row>
    <row r="133">
      <c r="A133" s="9" t="n"/>
      <c r="B133" s="30" t="n"/>
      <c r="C133" s="9" t="n"/>
      <c r="D133" s="24" t="n"/>
      <c r="E133" s="24">
        <f>IF($A133="","",ROUND(SUMIFS(Compras!$L$2:$L$5000,Compras!$A$2:$A$5000,$A133),2))</f>
        <v/>
      </c>
      <c r="F133" s="24">
        <f>IF($A133="","",ROUND($D133-$E133,2))</f>
        <v/>
      </c>
      <c r="G133" s="9">
        <f>IF($A133="","",IF(ABS($F133)&lt;=0.02,"OK","REVISAR"))</f>
        <v/>
      </c>
      <c r="H133" s="9" t="n"/>
      <c r="I133" s="9" t="n"/>
      <c r="J133" s="9" t="n"/>
      <c r="K133" s="9" t="n"/>
      <c r="L133" s="9" t="n"/>
      <c r="M133" s="9">
        <f>IF($A133="","",IF(COUNTIFS($B$2:$B$1000,$B133,$C$2:$C$1000,$C133,$D$2:$D$1000,$D133,$H$2:$H$1000,$H133)&gt;1,"DUPLICADO",""))</f>
        <v/>
      </c>
    </row>
    <row r="134">
      <c r="A134" s="9" t="n"/>
      <c r="B134" s="30" t="n"/>
      <c r="C134" s="9" t="n"/>
      <c r="D134" s="24" t="n"/>
      <c r="E134" s="24">
        <f>IF($A134="","",ROUND(SUMIFS(Compras!$L$2:$L$5000,Compras!$A$2:$A$5000,$A134),2))</f>
        <v/>
      </c>
      <c r="F134" s="24">
        <f>IF($A134="","",ROUND($D134-$E134,2))</f>
        <v/>
      </c>
      <c r="G134" s="9">
        <f>IF($A134="","",IF(ABS($F134)&lt;=0.02,"OK","REVISAR"))</f>
        <v/>
      </c>
      <c r="H134" s="9" t="n"/>
      <c r="I134" s="9" t="n"/>
      <c r="J134" s="9" t="n"/>
      <c r="K134" s="9" t="n"/>
      <c r="L134" s="9" t="n"/>
      <c r="M134" s="9">
        <f>IF($A134="","",IF(COUNTIFS($B$2:$B$1000,$B134,$C$2:$C$1000,$C134,$D$2:$D$1000,$D134,$H$2:$H$1000,$H134)&gt;1,"DUPLICADO",""))</f>
        <v/>
      </c>
    </row>
    <row r="135">
      <c r="A135" s="9" t="n"/>
      <c r="B135" s="30" t="n"/>
      <c r="C135" s="9" t="n"/>
      <c r="D135" s="24" t="n"/>
      <c r="E135" s="24">
        <f>IF($A135="","",ROUND(SUMIFS(Compras!$L$2:$L$5000,Compras!$A$2:$A$5000,$A135),2))</f>
        <v/>
      </c>
      <c r="F135" s="24">
        <f>IF($A135="","",ROUND($D135-$E135,2))</f>
        <v/>
      </c>
      <c r="G135" s="9">
        <f>IF($A135="","",IF(ABS($F135)&lt;=0.02,"OK","REVISAR"))</f>
        <v/>
      </c>
      <c r="H135" s="9" t="n"/>
      <c r="I135" s="9" t="n"/>
      <c r="J135" s="9" t="n"/>
      <c r="K135" s="9" t="n"/>
      <c r="L135" s="9" t="n"/>
      <c r="M135" s="9">
        <f>IF($A135="","",IF(COUNTIFS($B$2:$B$1000,$B135,$C$2:$C$1000,$C135,$D$2:$D$1000,$D135,$H$2:$H$1000,$H135)&gt;1,"DUPLICADO",""))</f>
        <v/>
      </c>
    </row>
    <row r="136">
      <c r="A136" s="9" t="n"/>
      <c r="B136" s="30" t="n"/>
      <c r="C136" s="9" t="n"/>
      <c r="D136" s="24" t="n"/>
      <c r="E136" s="24">
        <f>IF($A136="","",ROUND(SUMIFS(Compras!$L$2:$L$5000,Compras!$A$2:$A$5000,$A136),2))</f>
        <v/>
      </c>
      <c r="F136" s="24">
        <f>IF($A136="","",ROUND($D136-$E136,2))</f>
        <v/>
      </c>
      <c r="G136" s="9">
        <f>IF($A136="","",IF(ABS($F136)&lt;=0.02,"OK","REVISAR"))</f>
        <v/>
      </c>
      <c r="H136" s="9" t="n"/>
      <c r="I136" s="9" t="n"/>
      <c r="J136" s="9" t="n"/>
      <c r="K136" s="9" t="n"/>
      <c r="L136" s="9" t="n"/>
      <c r="M136" s="9">
        <f>IF($A136="","",IF(COUNTIFS($B$2:$B$1000,$B136,$C$2:$C$1000,$C136,$D$2:$D$1000,$D136,$H$2:$H$1000,$H136)&gt;1,"DUPLICADO",""))</f>
        <v/>
      </c>
    </row>
    <row r="137">
      <c r="A137" s="9" t="n"/>
      <c r="B137" s="30" t="n"/>
      <c r="C137" s="9" t="n"/>
      <c r="D137" s="24" t="n"/>
      <c r="E137" s="24">
        <f>IF($A137="","",ROUND(SUMIFS(Compras!$L$2:$L$5000,Compras!$A$2:$A$5000,$A137),2))</f>
        <v/>
      </c>
      <c r="F137" s="24">
        <f>IF($A137="","",ROUND($D137-$E137,2))</f>
        <v/>
      </c>
      <c r="G137" s="9">
        <f>IF($A137="","",IF(ABS($F137)&lt;=0.02,"OK","REVISAR"))</f>
        <v/>
      </c>
      <c r="H137" s="9" t="n"/>
      <c r="I137" s="9" t="n"/>
      <c r="J137" s="9" t="n"/>
      <c r="K137" s="9" t="n"/>
      <c r="L137" s="9" t="n"/>
      <c r="M137" s="9">
        <f>IF($A137="","",IF(COUNTIFS($B$2:$B$1000,$B137,$C$2:$C$1000,$C137,$D$2:$D$1000,$D137,$H$2:$H$1000,$H137)&gt;1,"DUPLICADO",""))</f>
        <v/>
      </c>
    </row>
    <row r="138">
      <c r="A138" s="9" t="n"/>
      <c r="B138" s="30" t="n"/>
      <c r="C138" s="9" t="n"/>
      <c r="D138" s="24" t="n"/>
      <c r="E138" s="24">
        <f>IF($A138="","",ROUND(SUMIFS(Compras!$L$2:$L$5000,Compras!$A$2:$A$5000,$A138),2))</f>
        <v/>
      </c>
      <c r="F138" s="24">
        <f>IF($A138="","",ROUND($D138-$E138,2))</f>
        <v/>
      </c>
      <c r="G138" s="9">
        <f>IF($A138="","",IF(ABS($F138)&lt;=0.02,"OK","REVISAR"))</f>
        <v/>
      </c>
      <c r="H138" s="9" t="n"/>
      <c r="I138" s="9" t="n"/>
      <c r="J138" s="9" t="n"/>
      <c r="K138" s="9" t="n"/>
      <c r="L138" s="9" t="n"/>
      <c r="M138" s="9">
        <f>IF($A138="","",IF(COUNTIFS($B$2:$B$1000,$B138,$C$2:$C$1000,$C138,$D$2:$D$1000,$D138,$H$2:$H$1000,$H138)&gt;1,"DUPLICADO",""))</f>
        <v/>
      </c>
    </row>
    <row r="139">
      <c r="A139" s="9" t="n"/>
      <c r="B139" s="30" t="n"/>
      <c r="C139" s="9" t="n"/>
      <c r="D139" s="24" t="n"/>
      <c r="E139" s="24">
        <f>IF($A139="","",ROUND(SUMIFS(Compras!$L$2:$L$5000,Compras!$A$2:$A$5000,$A139),2))</f>
        <v/>
      </c>
      <c r="F139" s="24">
        <f>IF($A139="","",ROUND($D139-$E139,2))</f>
        <v/>
      </c>
      <c r="G139" s="9">
        <f>IF($A139="","",IF(ABS($F139)&lt;=0.02,"OK","REVISAR"))</f>
        <v/>
      </c>
      <c r="H139" s="9" t="n"/>
      <c r="I139" s="9" t="n"/>
      <c r="J139" s="9" t="n"/>
      <c r="K139" s="9" t="n"/>
      <c r="L139" s="9" t="n"/>
      <c r="M139" s="9">
        <f>IF($A139="","",IF(COUNTIFS($B$2:$B$1000,$B139,$C$2:$C$1000,$C139,$D$2:$D$1000,$D139,$H$2:$H$1000,$H139)&gt;1,"DUPLICADO",""))</f>
        <v/>
      </c>
    </row>
    <row r="140">
      <c r="A140" s="9" t="n"/>
      <c r="B140" s="30" t="n"/>
      <c r="C140" s="9" t="n"/>
      <c r="D140" s="24" t="n"/>
      <c r="E140" s="24">
        <f>IF($A140="","",ROUND(SUMIFS(Compras!$L$2:$L$5000,Compras!$A$2:$A$5000,$A140),2))</f>
        <v/>
      </c>
      <c r="F140" s="24">
        <f>IF($A140="","",ROUND($D140-$E140,2))</f>
        <v/>
      </c>
      <c r="G140" s="9">
        <f>IF($A140="","",IF(ABS($F140)&lt;=0.02,"OK","REVISAR"))</f>
        <v/>
      </c>
      <c r="H140" s="9" t="n"/>
      <c r="I140" s="9" t="n"/>
      <c r="J140" s="9" t="n"/>
      <c r="K140" s="9" t="n"/>
      <c r="L140" s="9" t="n"/>
      <c r="M140" s="9">
        <f>IF($A140="","",IF(COUNTIFS($B$2:$B$1000,$B140,$C$2:$C$1000,$C140,$D$2:$D$1000,$D140,$H$2:$H$1000,$H140)&gt;1,"DUPLICADO",""))</f>
        <v/>
      </c>
    </row>
    <row r="141">
      <c r="A141" s="9" t="n"/>
      <c r="B141" s="30" t="n"/>
      <c r="C141" s="9" t="n"/>
      <c r="D141" s="24" t="n"/>
      <c r="E141" s="24">
        <f>IF($A141="","",ROUND(SUMIFS(Compras!$L$2:$L$5000,Compras!$A$2:$A$5000,$A141),2))</f>
        <v/>
      </c>
      <c r="F141" s="24">
        <f>IF($A141="","",ROUND($D141-$E141,2))</f>
        <v/>
      </c>
      <c r="G141" s="9">
        <f>IF($A141="","",IF(ABS($F141)&lt;=0.02,"OK","REVISAR"))</f>
        <v/>
      </c>
      <c r="H141" s="9" t="n"/>
      <c r="I141" s="9" t="n"/>
      <c r="J141" s="9" t="n"/>
      <c r="K141" s="9" t="n"/>
      <c r="L141" s="9" t="n"/>
      <c r="M141" s="9">
        <f>IF($A141="","",IF(COUNTIFS($B$2:$B$1000,$B141,$C$2:$C$1000,$C141,$D$2:$D$1000,$D141,$H$2:$H$1000,$H141)&gt;1,"DUPLICADO",""))</f>
        <v/>
      </c>
    </row>
    <row r="142">
      <c r="A142" s="9" t="n"/>
      <c r="B142" s="30" t="n"/>
      <c r="C142" s="9" t="n"/>
      <c r="D142" s="24" t="n"/>
      <c r="E142" s="24">
        <f>IF($A142="","",ROUND(SUMIFS(Compras!$L$2:$L$5000,Compras!$A$2:$A$5000,$A142),2))</f>
        <v/>
      </c>
      <c r="F142" s="24">
        <f>IF($A142="","",ROUND($D142-$E142,2))</f>
        <v/>
      </c>
      <c r="G142" s="9">
        <f>IF($A142="","",IF(ABS($F142)&lt;=0.02,"OK","REVISAR"))</f>
        <v/>
      </c>
      <c r="H142" s="9" t="n"/>
      <c r="I142" s="9" t="n"/>
      <c r="J142" s="9" t="n"/>
      <c r="K142" s="9" t="n"/>
      <c r="L142" s="9" t="n"/>
      <c r="M142" s="9">
        <f>IF($A142="","",IF(COUNTIFS($B$2:$B$1000,$B142,$C$2:$C$1000,$C142,$D$2:$D$1000,$D142,$H$2:$H$1000,$H142)&gt;1,"DUPLICADO",""))</f>
        <v/>
      </c>
    </row>
    <row r="143">
      <c r="A143" s="9" t="n"/>
      <c r="B143" s="30" t="n"/>
      <c r="C143" s="9" t="n"/>
      <c r="D143" s="24" t="n"/>
      <c r="E143" s="24">
        <f>IF($A143="","",ROUND(SUMIFS(Compras!$L$2:$L$5000,Compras!$A$2:$A$5000,$A143),2))</f>
        <v/>
      </c>
      <c r="F143" s="24">
        <f>IF($A143="","",ROUND($D143-$E143,2))</f>
        <v/>
      </c>
      <c r="G143" s="9">
        <f>IF($A143="","",IF(ABS($F143)&lt;=0.02,"OK","REVISAR"))</f>
        <v/>
      </c>
      <c r="H143" s="9" t="n"/>
      <c r="I143" s="9" t="n"/>
      <c r="J143" s="9" t="n"/>
      <c r="K143" s="9" t="n"/>
      <c r="L143" s="9" t="n"/>
      <c r="M143" s="9">
        <f>IF($A143="","",IF(COUNTIFS($B$2:$B$1000,$B143,$C$2:$C$1000,$C143,$D$2:$D$1000,$D143,$H$2:$H$1000,$H143)&gt;1,"DUPLICADO",""))</f>
        <v/>
      </c>
    </row>
    <row r="144">
      <c r="A144" s="9" t="n"/>
      <c r="B144" s="30" t="n"/>
      <c r="C144" s="9" t="n"/>
      <c r="D144" s="24" t="n"/>
      <c r="E144" s="24">
        <f>IF($A144="","",ROUND(SUMIFS(Compras!$L$2:$L$5000,Compras!$A$2:$A$5000,$A144),2))</f>
        <v/>
      </c>
      <c r="F144" s="24">
        <f>IF($A144="","",ROUND($D144-$E144,2))</f>
        <v/>
      </c>
      <c r="G144" s="9">
        <f>IF($A144="","",IF(ABS($F144)&lt;=0.02,"OK","REVISAR"))</f>
        <v/>
      </c>
      <c r="H144" s="9" t="n"/>
      <c r="I144" s="9" t="n"/>
      <c r="J144" s="9" t="n"/>
      <c r="K144" s="9" t="n"/>
      <c r="L144" s="9" t="n"/>
      <c r="M144" s="9">
        <f>IF($A144="","",IF(COUNTIFS($B$2:$B$1000,$B144,$C$2:$C$1000,$C144,$D$2:$D$1000,$D144,$H$2:$H$1000,$H144)&gt;1,"DUPLICADO",""))</f>
        <v/>
      </c>
    </row>
    <row r="145">
      <c r="A145" s="9" t="n"/>
      <c r="B145" s="30" t="n"/>
      <c r="C145" s="9" t="n"/>
      <c r="D145" s="24" t="n"/>
      <c r="E145" s="24">
        <f>IF($A145="","",ROUND(SUMIFS(Compras!$L$2:$L$5000,Compras!$A$2:$A$5000,$A145),2))</f>
        <v/>
      </c>
      <c r="F145" s="24">
        <f>IF($A145="","",ROUND($D145-$E145,2))</f>
        <v/>
      </c>
      <c r="G145" s="9">
        <f>IF($A145="","",IF(ABS($F145)&lt;=0.02,"OK","REVISAR"))</f>
        <v/>
      </c>
      <c r="H145" s="9" t="n"/>
      <c r="I145" s="9" t="n"/>
      <c r="J145" s="9" t="n"/>
      <c r="K145" s="9" t="n"/>
      <c r="L145" s="9" t="n"/>
      <c r="M145" s="9">
        <f>IF($A145="","",IF(COUNTIFS($B$2:$B$1000,$B145,$C$2:$C$1000,$C145,$D$2:$D$1000,$D145,$H$2:$H$1000,$H145)&gt;1,"DUPLICADO",""))</f>
        <v/>
      </c>
    </row>
    <row r="146">
      <c r="A146" s="9" t="n"/>
      <c r="B146" s="30" t="n"/>
      <c r="C146" s="9" t="n"/>
      <c r="D146" s="24" t="n"/>
      <c r="E146" s="24">
        <f>IF($A146="","",ROUND(SUMIFS(Compras!$L$2:$L$5000,Compras!$A$2:$A$5000,$A146),2))</f>
        <v/>
      </c>
      <c r="F146" s="24">
        <f>IF($A146="","",ROUND($D146-$E146,2))</f>
        <v/>
      </c>
      <c r="G146" s="9">
        <f>IF($A146="","",IF(ABS($F146)&lt;=0.02,"OK","REVISAR"))</f>
        <v/>
      </c>
      <c r="H146" s="9" t="n"/>
      <c r="I146" s="9" t="n"/>
      <c r="J146" s="9" t="n"/>
      <c r="K146" s="9" t="n"/>
      <c r="L146" s="9" t="n"/>
      <c r="M146" s="9">
        <f>IF($A146="","",IF(COUNTIFS($B$2:$B$1000,$B146,$C$2:$C$1000,$C146,$D$2:$D$1000,$D146,$H$2:$H$1000,$H146)&gt;1,"DUPLICADO",""))</f>
        <v/>
      </c>
    </row>
    <row r="147">
      <c r="A147" s="9" t="n"/>
      <c r="B147" s="30" t="n"/>
      <c r="C147" s="9" t="n"/>
      <c r="D147" s="24" t="n"/>
      <c r="E147" s="24">
        <f>IF($A147="","",ROUND(SUMIFS(Compras!$L$2:$L$5000,Compras!$A$2:$A$5000,$A147),2))</f>
        <v/>
      </c>
      <c r="F147" s="24">
        <f>IF($A147="","",ROUND($D147-$E147,2))</f>
        <v/>
      </c>
      <c r="G147" s="9">
        <f>IF($A147="","",IF(ABS($F147)&lt;=0.02,"OK","REVISAR"))</f>
        <v/>
      </c>
      <c r="H147" s="9" t="n"/>
      <c r="I147" s="9" t="n"/>
      <c r="J147" s="9" t="n"/>
      <c r="K147" s="9" t="n"/>
      <c r="L147" s="9" t="n"/>
      <c r="M147" s="9">
        <f>IF($A147="","",IF(COUNTIFS($B$2:$B$1000,$B147,$C$2:$C$1000,$C147,$D$2:$D$1000,$D147,$H$2:$H$1000,$H147)&gt;1,"DUPLICADO",""))</f>
        <v/>
      </c>
    </row>
    <row r="148">
      <c r="A148" s="9" t="n"/>
      <c r="B148" s="30" t="n"/>
      <c r="C148" s="9" t="n"/>
      <c r="D148" s="24" t="n"/>
      <c r="E148" s="24">
        <f>IF($A148="","",ROUND(SUMIFS(Compras!$L$2:$L$5000,Compras!$A$2:$A$5000,$A148),2))</f>
        <v/>
      </c>
      <c r="F148" s="24">
        <f>IF($A148="","",ROUND($D148-$E148,2))</f>
        <v/>
      </c>
      <c r="G148" s="9">
        <f>IF($A148="","",IF(ABS($F148)&lt;=0.02,"OK","REVISAR"))</f>
        <v/>
      </c>
      <c r="H148" s="9" t="n"/>
      <c r="I148" s="9" t="n"/>
      <c r="J148" s="9" t="n"/>
      <c r="K148" s="9" t="n"/>
      <c r="L148" s="9" t="n"/>
      <c r="M148" s="9">
        <f>IF($A148="","",IF(COUNTIFS($B$2:$B$1000,$B148,$C$2:$C$1000,$C148,$D$2:$D$1000,$D148,$H$2:$H$1000,$H148)&gt;1,"DUPLICADO",""))</f>
        <v/>
      </c>
    </row>
    <row r="149">
      <c r="A149" s="9" t="n"/>
      <c r="B149" s="30" t="n"/>
      <c r="C149" s="9" t="n"/>
      <c r="D149" s="24" t="n"/>
      <c r="E149" s="24">
        <f>IF($A149="","",ROUND(SUMIFS(Compras!$L$2:$L$5000,Compras!$A$2:$A$5000,$A149),2))</f>
        <v/>
      </c>
      <c r="F149" s="24">
        <f>IF($A149="","",ROUND($D149-$E149,2))</f>
        <v/>
      </c>
      <c r="G149" s="9">
        <f>IF($A149="","",IF(ABS($F149)&lt;=0.02,"OK","REVISAR"))</f>
        <v/>
      </c>
      <c r="H149" s="9" t="n"/>
      <c r="I149" s="9" t="n"/>
      <c r="J149" s="9" t="n"/>
      <c r="K149" s="9" t="n"/>
      <c r="L149" s="9" t="n"/>
      <c r="M149" s="9">
        <f>IF($A149="","",IF(COUNTIFS($B$2:$B$1000,$B149,$C$2:$C$1000,$C149,$D$2:$D$1000,$D149,$H$2:$H$1000,$H149)&gt;1,"DUPLICADO",""))</f>
        <v/>
      </c>
    </row>
    <row r="150">
      <c r="A150" s="9" t="n"/>
      <c r="B150" s="30" t="n"/>
      <c r="C150" s="9" t="n"/>
      <c r="D150" s="24" t="n"/>
      <c r="E150" s="24">
        <f>IF($A150="","",ROUND(SUMIFS(Compras!$L$2:$L$5000,Compras!$A$2:$A$5000,$A150),2))</f>
        <v/>
      </c>
      <c r="F150" s="24">
        <f>IF($A150="","",ROUND($D150-$E150,2))</f>
        <v/>
      </c>
      <c r="G150" s="9">
        <f>IF($A150="","",IF(ABS($F150)&lt;=0.02,"OK","REVISAR"))</f>
        <v/>
      </c>
      <c r="H150" s="9" t="n"/>
      <c r="I150" s="9" t="n"/>
      <c r="J150" s="9" t="n"/>
      <c r="K150" s="9" t="n"/>
      <c r="L150" s="9" t="n"/>
      <c r="M150" s="9">
        <f>IF($A150="","",IF(COUNTIFS($B$2:$B$1000,$B150,$C$2:$C$1000,$C150,$D$2:$D$1000,$D150,$H$2:$H$1000,$H150)&gt;1,"DUPLICADO",""))</f>
        <v/>
      </c>
    </row>
    <row r="151">
      <c r="A151" s="9" t="n"/>
      <c r="B151" s="30" t="n"/>
      <c r="C151" s="9" t="n"/>
      <c r="D151" s="24" t="n"/>
      <c r="E151" s="24">
        <f>IF($A151="","",ROUND(SUMIFS(Compras!$L$2:$L$5000,Compras!$A$2:$A$5000,$A151),2))</f>
        <v/>
      </c>
      <c r="F151" s="24">
        <f>IF($A151="","",ROUND($D151-$E151,2))</f>
        <v/>
      </c>
      <c r="G151" s="9">
        <f>IF($A151="","",IF(ABS($F151)&lt;=0.02,"OK","REVISAR"))</f>
        <v/>
      </c>
      <c r="H151" s="9" t="n"/>
      <c r="I151" s="9" t="n"/>
      <c r="J151" s="9" t="n"/>
      <c r="K151" s="9" t="n"/>
      <c r="L151" s="9" t="n"/>
      <c r="M151" s="9">
        <f>IF($A151="","",IF(COUNTIFS($B$2:$B$1000,$B151,$C$2:$C$1000,$C151,$D$2:$D$1000,$D151,$H$2:$H$1000,$H151)&gt;1,"DUPLICADO",""))</f>
        <v/>
      </c>
    </row>
    <row r="152">
      <c r="A152" s="9" t="n"/>
      <c r="B152" s="30" t="n"/>
      <c r="C152" s="9" t="n"/>
      <c r="D152" s="24" t="n"/>
      <c r="E152" s="24">
        <f>IF($A152="","",ROUND(SUMIFS(Compras!$L$2:$L$5000,Compras!$A$2:$A$5000,$A152),2))</f>
        <v/>
      </c>
      <c r="F152" s="24">
        <f>IF($A152="","",ROUND($D152-$E152,2))</f>
        <v/>
      </c>
      <c r="G152" s="9">
        <f>IF($A152="","",IF(ABS($F152)&lt;=0.02,"OK","REVISAR"))</f>
        <v/>
      </c>
      <c r="H152" s="9" t="n"/>
      <c r="I152" s="9" t="n"/>
      <c r="J152" s="9" t="n"/>
      <c r="K152" s="9" t="n"/>
      <c r="L152" s="9" t="n"/>
      <c r="M152" s="9">
        <f>IF($A152="","",IF(COUNTIFS($B$2:$B$1000,$B152,$C$2:$C$1000,$C152,$D$2:$D$1000,$D152,$H$2:$H$1000,$H152)&gt;1,"DUPLICADO",""))</f>
        <v/>
      </c>
    </row>
    <row r="153">
      <c r="A153" s="9" t="n"/>
      <c r="B153" s="30" t="n"/>
      <c r="C153" s="9" t="n"/>
      <c r="D153" s="24" t="n"/>
      <c r="E153" s="24">
        <f>IF($A153="","",ROUND(SUMIFS(Compras!$L$2:$L$5000,Compras!$A$2:$A$5000,$A153),2))</f>
        <v/>
      </c>
      <c r="F153" s="24">
        <f>IF($A153="","",ROUND($D153-$E153,2))</f>
        <v/>
      </c>
      <c r="G153" s="9">
        <f>IF($A153="","",IF(ABS($F153)&lt;=0.02,"OK","REVISAR"))</f>
        <v/>
      </c>
      <c r="H153" s="9" t="n"/>
      <c r="I153" s="9" t="n"/>
      <c r="J153" s="9" t="n"/>
      <c r="K153" s="9" t="n"/>
      <c r="L153" s="9" t="n"/>
      <c r="M153" s="9">
        <f>IF($A153="","",IF(COUNTIFS($B$2:$B$1000,$B153,$C$2:$C$1000,$C153,$D$2:$D$1000,$D153,$H$2:$H$1000,$H153)&gt;1,"DUPLICADO",""))</f>
        <v/>
      </c>
    </row>
    <row r="154">
      <c r="A154" s="9" t="n"/>
      <c r="B154" s="30" t="n"/>
      <c r="C154" s="9" t="n"/>
      <c r="D154" s="24" t="n"/>
      <c r="E154" s="24">
        <f>IF($A154="","",ROUND(SUMIFS(Compras!$L$2:$L$5000,Compras!$A$2:$A$5000,$A154),2))</f>
        <v/>
      </c>
      <c r="F154" s="24">
        <f>IF($A154="","",ROUND($D154-$E154,2))</f>
        <v/>
      </c>
      <c r="G154" s="9">
        <f>IF($A154="","",IF(ABS($F154)&lt;=0.02,"OK","REVISAR"))</f>
        <v/>
      </c>
      <c r="H154" s="9" t="n"/>
      <c r="I154" s="9" t="n"/>
      <c r="J154" s="9" t="n"/>
      <c r="K154" s="9" t="n"/>
      <c r="L154" s="9" t="n"/>
      <c r="M154" s="9">
        <f>IF($A154="","",IF(COUNTIFS($B$2:$B$1000,$B154,$C$2:$C$1000,$C154,$D$2:$D$1000,$D154,$H$2:$H$1000,$H154)&gt;1,"DUPLICADO",""))</f>
        <v/>
      </c>
    </row>
    <row r="155">
      <c r="A155" s="9" t="n"/>
      <c r="B155" s="30" t="n"/>
      <c r="C155" s="9" t="n"/>
      <c r="D155" s="24" t="n"/>
      <c r="E155" s="24">
        <f>IF($A155="","",ROUND(SUMIFS(Compras!$L$2:$L$5000,Compras!$A$2:$A$5000,$A155),2))</f>
        <v/>
      </c>
      <c r="F155" s="24">
        <f>IF($A155="","",ROUND($D155-$E155,2))</f>
        <v/>
      </c>
      <c r="G155" s="9">
        <f>IF($A155="","",IF(ABS($F155)&lt;=0.02,"OK","REVISAR"))</f>
        <v/>
      </c>
      <c r="H155" s="9" t="n"/>
      <c r="I155" s="9" t="n"/>
      <c r="J155" s="9" t="n"/>
      <c r="K155" s="9" t="n"/>
      <c r="L155" s="9" t="n"/>
      <c r="M155" s="9">
        <f>IF($A155="","",IF(COUNTIFS($B$2:$B$1000,$B155,$C$2:$C$1000,$C155,$D$2:$D$1000,$D155,$H$2:$H$1000,$H155)&gt;1,"DUPLICADO",""))</f>
        <v/>
      </c>
    </row>
    <row r="156">
      <c r="A156" s="9" t="n"/>
      <c r="B156" s="30" t="n"/>
      <c r="C156" s="9" t="n"/>
      <c r="D156" s="24" t="n"/>
      <c r="E156" s="24">
        <f>IF($A156="","",ROUND(SUMIFS(Compras!$L$2:$L$5000,Compras!$A$2:$A$5000,$A156),2))</f>
        <v/>
      </c>
      <c r="F156" s="24">
        <f>IF($A156="","",ROUND($D156-$E156,2))</f>
        <v/>
      </c>
      <c r="G156" s="9">
        <f>IF($A156="","",IF(ABS($F156)&lt;=0.02,"OK","REVISAR"))</f>
        <v/>
      </c>
      <c r="H156" s="9" t="n"/>
      <c r="I156" s="9" t="n"/>
      <c r="J156" s="9" t="n"/>
      <c r="K156" s="9" t="n"/>
      <c r="L156" s="9" t="n"/>
      <c r="M156" s="9">
        <f>IF($A156="","",IF(COUNTIFS($B$2:$B$1000,$B156,$C$2:$C$1000,$C156,$D$2:$D$1000,$D156,$H$2:$H$1000,$H156)&gt;1,"DUPLICADO",""))</f>
        <v/>
      </c>
    </row>
    <row r="157">
      <c r="A157" s="9" t="n"/>
      <c r="B157" s="30" t="n"/>
      <c r="C157" s="9" t="n"/>
      <c r="D157" s="24" t="n"/>
      <c r="E157" s="24">
        <f>IF($A157="","",ROUND(SUMIFS(Compras!$L$2:$L$5000,Compras!$A$2:$A$5000,$A157),2))</f>
        <v/>
      </c>
      <c r="F157" s="24">
        <f>IF($A157="","",ROUND($D157-$E157,2))</f>
        <v/>
      </c>
      <c r="G157" s="9">
        <f>IF($A157="","",IF(ABS($F157)&lt;=0.02,"OK","REVISAR"))</f>
        <v/>
      </c>
      <c r="H157" s="9" t="n"/>
      <c r="I157" s="9" t="n"/>
      <c r="J157" s="9" t="n"/>
      <c r="K157" s="9" t="n"/>
      <c r="L157" s="9" t="n"/>
      <c r="M157" s="9">
        <f>IF($A157="","",IF(COUNTIFS($B$2:$B$1000,$B157,$C$2:$C$1000,$C157,$D$2:$D$1000,$D157,$H$2:$H$1000,$H157)&gt;1,"DUPLICADO",""))</f>
        <v/>
      </c>
    </row>
    <row r="158">
      <c r="A158" s="9" t="n"/>
      <c r="B158" s="30" t="n"/>
      <c r="C158" s="9" t="n"/>
      <c r="D158" s="24" t="n"/>
      <c r="E158" s="24">
        <f>IF($A158="","",ROUND(SUMIFS(Compras!$L$2:$L$5000,Compras!$A$2:$A$5000,$A158),2))</f>
        <v/>
      </c>
      <c r="F158" s="24">
        <f>IF($A158="","",ROUND($D158-$E158,2))</f>
        <v/>
      </c>
      <c r="G158" s="9">
        <f>IF($A158="","",IF(ABS($F158)&lt;=0.02,"OK","REVISAR"))</f>
        <v/>
      </c>
      <c r="H158" s="9" t="n"/>
      <c r="I158" s="9" t="n"/>
      <c r="J158" s="9" t="n"/>
      <c r="K158" s="9" t="n"/>
      <c r="L158" s="9" t="n"/>
      <c r="M158" s="9">
        <f>IF($A158="","",IF(COUNTIFS($B$2:$B$1000,$B158,$C$2:$C$1000,$C158,$D$2:$D$1000,$D158,$H$2:$H$1000,$H158)&gt;1,"DUPLICADO",""))</f>
        <v/>
      </c>
    </row>
    <row r="159">
      <c r="A159" s="9" t="n"/>
      <c r="B159" s="30" t="n"/>
      <c r="C159" s="9" t="n"/>
      <c r="D159" s="24" t="n"/>
      <c r="E159" s="24">
        <f>IF($A159="","",ROUND(SUMIFS(Compras!$L$2:$L$5000,Compras!$A$2:$A$5000,$A159),2))</f>
        <v/>
      </c>
      <c r="F159" s="24">
        <f>IF($A159="","",ROUND($D159-$E159,2))</f>
        <v/>
      </c>
      <c r="G159" s="9">
        <f>IF($A159="","",IF(ABS($F159)&lt;=0.02,"OK","REVISAR"))</f>
        <v/>
      </c>
      <c r="H159" s="9" t="n"/>
      <c r="I159" s="9" t="n"/>
      <c r="J159" s="9" t="n"/>
      <c r="K159" s="9" t="n"/>
      <c r="L159" s="9" t="n"/>
      <c r="M159" s="9">
        <f>IF($A159="","",IF(COUNTIFS($B$2:$B$1000,$B159,$C$2:$C$1000,$C159,$D$2:$D$1000,$D159,$H$2:$H$1000,$H159)&gt;1,"DUPLICADO",""))</f>
        <v/>
      </c>
    </row>
    <row r="160">
      <c r="A160" s="9" t="n"/>
      <c r="B160" s="30" t="n"/>
      <c r="C160" s="9" t="n"/>
      <c r="D160" s="24" t="n"/>
      <c r="E160" s="24">
        <f>IF($A160="","",ROUND(SUMIFS(Compras!$L$2:$L$5000,Compras!$A$2:$A$5000,$A160),2))</f>
        <v/>
      </c>
      <c r="F160" s="24">
        <f>IF($A160="","",ROUND($D160-$E160,2))</f>
        <v/>
      </c>
      <c r="G160" s="9">
        <f>IF($A160="","",IF(ABS($F160)&lt;=0.02,"OK","REVISAR"))</f>
        <v/>
      </c>
      <c r="H160" s="9" t="n"/>
      <c r="I160" s="9" t="n"/>
      <c r="J160" s="9" t="n"/>
      <c r="K160" s="9" t="n"/>
      <c r="L160" s="9" t="n"/>
      <c r="M160" s="9">
        <f>IF($A160="","",IF(COUNTIFS($B$2:$B$1000,$B160,$C$2:$C$1000,$C160,$D$2:$D$1000,$D160,$H$2:$H$1000,$H160)&gt;1,"DUPLICADO",""))</f>
        <v/>
      </c>
    </row>
    <row r="161">
      <c r="A161" s="9" t="n"/>
      <c r="B161" s="30" t="n"/>
      <c r="C161" s="9" t="n"/>
      <c r="D161" s="24" t="n"/>
      <c r="E161" s="24">
        <f>IF($A161="","",ROUND(SUMIFS(Compras!$L$2:$L$5000,Compras!$A$2:$A$5000,$A161),2))</f>
        <v/>
      </c>
      <c r="F161" s="24">
        <f>IF($A161="","",ROUND($D161-$E161,2))</f>
        <v/>
      </c>
      <c r="G161" s="9">
        <f>IF($A161="","",IF(ABS($F161)&lt;=0.02,"OK","REVISAR"))</f>
        <v/>
      </c>
      <c r="H161" s="9" t="n"/>
      <c r="I161" s="9" t="n"/>
      <c r="J161" s="9" t="n"/>
      <c r="K161" s="9" t="n"/>
      <c r="L161" s="9" t="n"/>
      <c r="M161" s="9">
        <f>IF($A161="","",IF(COUNTIFS($B$2:$B$1000,$B161,$C$2:$C$1000,$C161,$D$2:$D$1000,$D161,$H$2:$H$1000,$H161)&gt;1,"DUPLICADO",""))</f>
        <v/>
      </c>
    </row>
    <row r="162">
      <c r="A162" s="9" t="n"/>
      <c r="B162" s="30" t="n"/>
      <c r="C162" s="9" t="n"/>
      <c r="D162" s="24" t="n"/>
      <c r="E162" s="24">
        <f>IF($A162="","",ROUND(SUMIFS(Compras!$L$2:$L$5000,Compras!$A$2:$A$5000,$A162),2))</f>
        <v/>
      </c>
      <c r="F162" s="24">
        <f>IF($A162="","",ROUND($D162-$E162,2))</f>
        <v/>
      </c>
      <c r="G162" s="9">
        <f>IF($A162="","",IF(ABS($F162)&lt;=0.02,"OK","REVISAR"))</f>
        <v/>
      </c>
      <c r="H162" s="9" t="n"/>
      <c r="I162" s="9" t="n"/>
      <c r="J162" s="9" t="n"/>
      <c r="K162" s="9" t="n"/>
      <c r="L162" s="9" t="n"/>
      <c r="M162" s="9">
        <f>IF($A162="","",IF(COUNTIFS($B$2:$B$1000,$B162,$C$2:$C$1000,$C162,$D$2:$D$1000,$D162,$H$2:$H$1000,$H162)&gt;1,"DUPLICADO",""))</f>
        <v/>
      </c>
    </row>
    <row r="163">
      <c r="A163" s="9" t="n"/>
      <c r="B163" s="30" t="n"/>
      <c r="C163" s="9" t="n"/>
      <c r="D163" s="24" t="n"/>
      <c r="E163" s="24">
        <f>IF($A163="","",ROUND(SUMIFS(Compras!$L$2:$L$5000,Compras!$A$2:$A$5000,$A163),2))</f>
        <v/>
      </c>
      <c r="F163" s="24">
        <f>IF($A163="","",ROUND($D163-$E163,2))</f>
        <v/>
      </c>
      <c r="G163" s="9">
        <f>IF($A163="","",IF(ABS($F163)&lt;=0.02,"OK","REVISAR"))</f>
        <v/>
      </c>
      <c r="H163" s="9" t="n"/>
      <c r="I163" s="9" t="n"/>
      <c r="J163" s="9" t="n"/>
      <c r="K163" s="9" t="n"/>
      <c r="L163" s="9" t="n"/>
      <c r="M163" s="9">
        <f>IF($A163="","",IF(COUNTIFS($B$2:$B$1000,$B163,$C$2:$C$1000,$C163,$D$2:$D$1000,$D163,$H$2:$H$1000,$H163)&gt;1,"DUPLICADO",""))</f>
        <v/>
      </c>
    </row>
    <row r="164">
      <c r="A164" s="9" t="n"/>
      <c r="B164" s="30" t="n"/>
      <c r="C164" s="9" t="n"/>
      <c r="D164" s="24" t="n"/>
      <c r="E164" s="24">
        <f>IF($A164="","",ROUND(SUMIFS(Compras!$L$2:$L$5000,Compras!$A$2:$A$5000,$A164),2))</f>
        <v/>
      </c>
      <c r="F164" s="24">
        <f>IF($A164="","",ROUND($D164-$E164,2))</f>
        <v/>
      </c>
      <c r="G164" s="9">
        <f>IF($A164="","",IF(ABS($F164)&lt;=0.02,"OK","REVISAR"))</f>
        <v/>
      </c>
      <c r="H164" s="9" t="n"/>
      <c r="I164" s="9" t="n"/>
      <c r="J164" s="9" t="n"/>
      <c r="K164" s="9" t="n"/>
      <c r="L164" s="9" t="n"/>
      <c r="M164" s="9">
        <f>IF($A164="","",IF(COUNTIFS($B$2:$B$1000,$B164,$C$2:$C$1000,$C164,$D$2:$D$1000,$D164,$H$2:$H$1000,$H164)&gt;1,"DUPLICADO",""))</f>
        <v/>
      </c>
    </row>
    <row r="165">
      <c r="A165" s="9" t="n"/>
      <c r="B165" s="30" t="n"/>
      <c r="C165" s="9" t="n"/>
      <c r="D165" s="24" t="n"/>
      <c r="E165" s="24">
        <f>IF($A165="","",ROUND(SUMIFS(Compras!$L$2:$L$5000,Compras!$A$2:$A$5000,$A165),2))</f>
        <v/>
      </c>
      <c r="F165" s="24">
        <f>IF($A165="","",ROUND($D165-$E165,2))</f>
        <v/>
      </c>
      <c r="G165" s="9">
        <f>IF($A165="","",IF(ABS($F165)&lt;=0.02,"OK","REVISAR"))</f>
        <v/>
      </c>
      <c r="H165" s="9" t="n"/>
      <c r="I165" s="9" t="n"/>
      <c r="J165" s="9" t="n"/>
      <c r="K165" s="9" t="n"/>
      <c r="L165" s="9" t="n"/>
      <c r="M165" s="9">
        <f>IF($A165="","",IF(COUNTIFS($B$2:$B$1000,$B165,$C$2:$C$1000,$C165,$D$2:$D$1000,$D165,$H$2:$H$1000,$H165)&gt;1,"DUPLICADO",""))</f>
        <v/>
      </c>
    </row>
    <row r="166">
      <c r="A166" s="9" t="n"/>
      <c r="B166" s="30" t="n"/>
      <c r="C166" s="9" t="n"/>
      <c r="D166" s="24" t="n"/>
      <c r="E166" s="24">
        <f>IF($A166="","",ROUND(SUMIFS(Compras!$L$2:$L$5000,Compras!$A$2:$A$5000,$A166),2))</f>
        <v/>
      </c>
      <c r="F166" s="24">
        <f>IF($A166="","",ROUND($D166-$E166,2))</f>
        <v/>
      </c>
      <c r="G166" s="9">
        <f>IF($A166="","",IF(ABS($F166)&lt;=0.02,"OK","REVISAR"))</f>
        <v/>
      </c>
      <c r="H166" s="9" t="n"/>
      <c r="I166" s="9" t="n"/>
      <c r="J166" s="9" t="n"/>
      <c r="K166" s="9" t="n"/>
      <c r="L166" s="9" t="n"/>
      <c r="M166" s="9">
        <f>IF($A166="","",IF(COUNTIFS($B$2:$B$1000,$B166,$C$2:$C$1000,$C166,$D$2:$D$1000,$D166,$H$2:$H$1000,$H166)&gt;1,"DUPLICADO",""))</f>
        <v/>
      </c>
    </row>
    <row r="167">
      <c r="A167" s="9" t="n"/>
      <c r="B167" s="30" t="n"/>
      <c r="C167" s="9" t="n"/>
      <c r="D167" s="24" t="n"/>
      <c r="E167" s="24">
        <f>IF($A167="","",ROUND(SUMIFS(Compras!$L$2:$L$5000,Compras!$A$2:$A$5000,$A167),2))</f>
        <v/>
      </c>
      <c r="F167" s="24">
        <f>IF($A167="","",ROUND($D167-$E167,2))</f>
        <v/>
      </c>
      <c r="G167" s="9">
        <f>IF($A167="","",IF(ABS($F167)&lt;=0.02,"OK","REVISAR"))</f>
        <v/>
      </c>
      <c r="H167" s="9" t="n"/>
      <c r="I167" s="9" t="n"/>
      <c r="J167" s="9" t="n"/>
      <c r="K167" s="9" t="n"/>
      <c r="L167" s="9" t="n"/>
      <c r="M167" s="9">
        <f>IF($A167="","",IF(COUNTIFS($B$2:$B$1000,$B167,$C$2:$C$1000,$C167,$D$2:$D$1000,$D167,$H$2:$H$1000,$H167)&gt;1,"DUPLICADO",""))</f>
        <v/>
      </c>
    </row>
    <row r="168">
      <c r="A168" s="9" t="n"/>
      <c r="B168" s="30" t="n"/>
      <c r="C168" s="9" t="n"/>
      <c r="D168" s="24" t="n"/>
      <c r="E168" s="24">
        <f>IF($A168="","",ROUND(SUMIFS(Compras!$L$2:$L$5000,Compras!$A$2:$A$5000,$A168),2))</f>
        <v/>
      </c>
      <c r="F168" s="24">
        <f>IF($A168="","",ROUND($D168-$E168,2))</f>
        <v/>
      </c>
      <c r="G168" s="9">
        <f>IF($A168="","",IF(ABS($F168)&lt;=0.02,"OK","REVISAR"))</f>
        <v/>
      </c>
      <c r="H168" s="9" t="n"/>
      <c r="I168" s="9" t="n"/>
      <c r="J168" s="9" t="n"/>
      <c r="K168" s="9" t="n"/>
      <c r="L168" s="9" t="n"/>
      <c r="M168" s="9">
        <f>IF($A168="","",IF(COUNTIFS($B$2:$B$1000,$B168,$C$2:$C$1000,$C168,$D$2:$D$1000,$D168,$H$2:$H$1000,$H168)&gt;1,"DUPLICADO",""))</f>
        <v/>
      </c>
    </row>
    <row r="169">
      <c r="A169" s="9" t="n"/>
      <c r="B169" s="30" t="n"/>
      <c r="C169" s="9" t="n"/>
      <c r="D169" s="24" t="n"/>
      <c r="E169" s="24">
        <f>IF($A169="","",ROUND(SUMIFS(Compras!$L$2:$L$5000,Compras!$A$2:$A$5000,$A169),2))</f>
        <v/>
      </c>
      <c r="F169" s="24">
        <f>IF($A169="","",ROUND($D169-$E169,2))</f>
        <v/>
      </c>
      <c r="G169" s="9">
        <f>IF($A169="","",IF(ABS($F169)&lt;=0.02,"OK","REVISAR"))</f>
        <v/>
      </c>
      <c r="H169" s="9" t="n"/>
      <c r="I169" s="9" t="n"/>
      <c r="J169" s="9" t="n"/>
      <c r="K169" s="9" t="n"/>
      <c r="L169" s="9" t="n"/>
      <c r="M169" s="9">
        <f>IF($A169="","",IF(COUNTIFS($B$2:$B$1000,$B169,$C$2:$C$1000,$C169,$D$2:$D$1000,$D169,$H$2:$H$1000,$H169)&gt;1,"DUPLICADO",""))</f>
        <v/>
      </c>
    </row>
    <row r="170">
      <c r="A170" s="9" t="n"/>
      <c r="B170" s="30" t="n"/>
      <c r="C170" s="9" t="n"/>
      <c r="D170" s="24" t="n"/>
      <c r="E170" s="24">
        <f>IF($A170="","",ROUND(SUMIFS(Compras!$L$2:$L$5000,Compras!$A$2:$A$5000,$A170),2))</f>
        <v/>
      </c>
      <c r="F170" s="24">
        <f>IF($A170="","",ROUND($D170-$E170,2))</f>
        <v/>
      </c>
      <c r="G170" s="9">
        <f>IF($A170="","",IF(ABS($F170)&lt;=0.02,"OK","REVISAR"))</f>
        <v/>
      </c>
      <c r="H170" s="9" t="n"/>
      <c r="I170" s="9" t="n"/>
      <c r="J170" s="9" t="n"/>
      <c r="K170" s="9" t="n"/>
      <c r="L170" s="9" t="n"/>
      <c r="M170" s="9">
        <f>IF($A170="","",IF(COUNTIFS($B$2:$B$1000,$B170,$C$2:$C$1000,$C170,$D$2:$D$1000,$D170,$H$2:$H$1000,$H170)&gt;1,"DUPLICADO",""))</f>
        <v/>
      </c>
    </row>
    <row r="171">
      <c r="A171" s="9" t="n"/>
      <c r="B171" s="30" t="n"/>
      <c r="C171" s="9" t="n"/>
      <c r="D171" s="24" t="n"/>
      <c r="E171" s="24">
        <f>IF($A171="","",ROUND(SUMIFS(Compras!$L$2:$L$5000,Compras!$A$2:$A$5000,$A171),2))</f>
        <v/>
      </c>
      <c r="F171" s="24">
        <f>IF($A171="","",ROUND($D171-$E171,2))</f>
        <v/>
      </c>
      <c r="G171" s="9">
        <f>IF($A171="","",IF(ABS($F171)&lt;=0.02,"OK","REVISAR"))</f>
        <v/>
      </c>
      <c r="H171" s="9" t="n"/>
      <c r="I171" s="9" t="n"/>
      <c r="J171" s="9" t="n"/>
      <c r="K171" s="9" t="n"/>
      <c r="L171" s="9" t="n"/>
      <c r="M171" s="9">
        <f>IF($A171="","",IF(COUNTIFS($B$2:$B$1000,$B171,$C$2:$C$1000,$C171,$D$2:$D$1000,$D171,$H$2:$H$1000,$H171)&gt;1,"DUPLICADO",""))</f>
        <v/>
      </c>
    </row>
    <row r="172">
      <c r="A172" s="9" t="n"/>
      <c r="B172" s="30" t="n"/>
      <c r="C172" s="9" t="n"/>
      <c r="D172" s="24" t="n"/>
      <c r="E172" s="24">
        <f>IF($A172="","",ROUND(SUMIFS(Compras!$L$2:$L$5000,Compras!$A$2:$A$5000,$A172),2))</f>
        <v/>
      </c>
      <c r="F172" s="24">
        <f>IF($A172="","",ROUND($D172-$E172,2))</f>
        <v/>
      </c>
      <c r="G172" s="9">
        <f>IF($A172="","",IF(ABS($F172)&lt;=0.02,"OK","REVISAR"))</f>
        <v/>
      </c>
      <c r="H172" s="9" t="n"/>
      <c r="I172" s="9" t="n"/>
      <c r="J172" s="9" t="n"/>
      <c r="K172" s="9" t="n"/>
      <c r="L172" s="9" t="n"/>
      <c r="M172" s="9">
        <f>IF($A172="","",IF(COUNTIFS($B$2:$B$1000,$B172,$C$2:$C$1000,$C172,$D$2:$D$1000,$D172,$H$2:$H$1000,$H172)&gt;1,"DUPLICADO",""))</f>
        <v/>
      </c>
    </row>
    <row r="173">
      <c r="A173" s="9" t="n"/>
      <c r="B173" s="30" t="n"/>
      <c r="C173" s="9" t="n"/>
      <c r="D173" s="24" t="n"/>
      <c r="E173" s="24">
        <f>IF($A173="","",ROUND(SUMIFS(Compras!$L$2:$L$5000,Compras!$A$2:$A$5000,$A173),2))</f>
        <v/>
      </c>
      <c r="F173" s="24">
        <f>IF($A173="","",ROUND($D173-$E173,2))</f>
        <v/>
      </c>
      <c r="G173" s="9">
        <f>IF($A173="","",IF(ABS($F173)&lt;=0.02,"OK","REVISAR"))</f>
        <v/>
      </c>
      <c r="H173" s="9" t="n"/>
      <c r="I173" s="9" t="n"/>
      <c r="J173" s="9" t="n"/>
      <c r="K173" s="9" t="n"/>
      <c r="L173" s="9" t="n"/>
      <c r="M173" s="9">
        <f>IF($A173="","",IF(COUNTIFS($B$2:$B$1000,$B173,$C$2:$C$1000,$C173,$D$2:$D$1000,$D173,$H$2:$H$1000,$H173)&gt;1,"DUPLICADO",""))</f>
        <v/>
      </c>
    </row>
    <row r="174">
      <c r="A174" s="9" t="n"/>
      <c r="B174" s="30" t="n"/>
      <c r="C174" s="9" t="n"/>
      <c r="D174" s="24" t="n"/>
      <c r="E174" s="24">
        <f>IF($A174="","",ROUND(SUMIFS(Compras!$L$2:$L$5000,Compras!$A$2:$A$5000,$A174),2))</f>
        <v/>
      </c>
      <c r="F174" s="24">
        <f>IF($A174="","",ROUND($D174-$E174,2))</f>
        <v/>
      </c>
      <c r="G174" s="9">
        <f>IF($A174="","",IF(ABS($F174)&lt;=0.02,"OK","REVISAR"))</f>
        <v/>
      </c>
      <c r="H174" s="9" t="n"/>
      <c r="I174" s="9" t="n"/>
      <c r="J174" s="9" t="n"/>
      <c r="K174" s="9" t="n"/>
      <c r="L174" s="9" t="n"/>
      <c r="M174" s="9">
        <f>IF($A174="","",IF(COUNTIFS($B$2:$B$1000,$B174,$C$2:$C$1000,$C174,$D$2:$D$1000,$D174,$H$2:$H$1000,$H174)&gt;1,"DUPLICADO",""))</f>
        <v/>
      </c>
    </row>
    <row r="175">
      <c r="A175" s="9" t="n"/>
      <c r="B175" s="30" t="n"/>
      <c r="C175" s="9" t="n"/>
      <c r="D175" s="24" t="n"/>
      <c r="E175" s="24">
        <f>IF($A175="","",ROUND(SUMIFS(Compras!$L$2:$L$5000,Compras!$A$2:$A$5000,$A175),2))</f>
        <v/>
      </c>
      <c r="F175" s="24">
        <f>IF($A175="","",ROUND($D175-$E175,2))</f>
        <v/>
      </c>
      <c r="G175" s="9">
        <f>IF($A175="","",IF(ABS($F175)&lt;=0.02,"OK","REVISAR"))</f>
        <v/>
      </c>
      <c r="H175" s="9" t="n"/>
      <c r="I175" s="9" t="n"/>
      <c r="J175" s="9" t="n"/>
      <c r="K175" s="9" t="n"/>
      <c r="L175" s="9" t="n"/>
      <c r="M175" s="9">
        <f>IF($A175="","",IF(COUNTIFS($B$2:$B$1000,$B175,$C$2:$C$1000,$C175,$D$2:$D$1000,$D175,$H$2:$H$1000,$H175)&gt;1,"DUPLICADO",""))</f>
        <v/>
      </c>
    </row>
    <row r="176">
      <c r="A176" s="9" t="n"/>
      <c r="B176" s="30" t="n"/>
      <c r="C176" s="9" t="n"/>
      <c r="D176" s="24" t="n"/>
      <c r="E176" s="24">
        <f>IF($A176="","",ROUND(SUMIFS(Compras!$L$2:$L$5000,Compras!$A$2:$A$5000,$A176),2))</f>
        <v/>
      </c>
      <c r="F176" s="24">
        <f>IF($A176="","",ROUND($D176-$E176,2))</f>
        <v/>
      </c>
      <c r="G176" s="9">
        <f>IF($A176="","",IF(ABS($F176)&lt;=0.02,"OK","REVISAR"))</f>
        <v/>
      </c>
      <c r="H176" s="9" t="n"/>
      <c r="I176" s="9" t="n"/>
      <c r="J176" s="9" t="n"/>
      <c r="K176" s="9" t="n"/>
      <c r="L176" s="9" t="n"/>
      <c r="M176" s="9">
        <f>IF($A176="","",IF(COUNTIFS($B$2:$B$1000,$B176,$C$2:$C$1000,$C176,$D$2:$D$1000,$D176,$H$2:$H$1000,$H176)&gt;1,"DUPLICADO",""))</f>
        <v/>
      </c>
    </row>
    <row r="177">
      <c r="A177" s="9" t="n"/>
      <c r="B177" s="30" t="n"/>
      <c r="C177" s="9" t="n"/>
      <c r="D177" s="24" t="n"/>
      <c r="E177" s="24">
        <f>IF($A177="","",ROUND(SUMIFS(Compras!$L$2:$L$5000,Compras!$A$2:$A$5000,$A177),2))</f>
        <v/>
      </c>
      <c r="F177" s="24">
        <f>IF($A177="","",ROUND($D177-$E177,2))</f>
        <v/>
      </c>
      <c r="G177" s="9">
        <f>IF($A177="","",IF(ABS($F177)&lt;=0.02,"OK","REVISAR"))</f>
        <v/>
      </c>
      <c r="H177" s="9" t="n"/>
      <c r="I177" s="9" t="n"/>
      <c r="J177" s="9" t="n"/>
      <c r="K177" s="9" t="n"/>
      <c r="L177" s="9" t="n"/>
      <c r="M177" s="9">
        <f>IF($A177="","",IF(COUNTIFS($B$2:$B$1000,$B177,$C$2:$C$1000,$C177,$D$2:$D$1000,$D177,$H$2:$H$1000,$H177)&gt;1,"DUPLICADO",""))</f>
        <v/>
      </c>
    </row>
    <row r="178">
      <c r="A178" s="9" t="n"/>
      <c r="B178" s="30" t="n"/>
      <c r="C178" s="9" t="n"/>
      <c r="D178" s="24" t="n"/>
      <c r="E178" s="24">
        <f>IF($A178="","",ROUND(SUMIFS(Compras!$L$2:$L$5000,Compras!$A$2:$A$5000,$A178),2))</f>
        <v/>
      </c>
      <c r="F178" s="24">
        <f>IF($A178="","",ROUND($D178-$E178,2))</f>
        <v/>
      </c>
      <c r="G178" s="9">
        <f>IF($A178="","",IF(ABS($F178)&lt;=0.02,"OK","REVISAR"))</f>
        <v/>
      </c>
      <c r="H178" s="9" t="n"/>
      <c r="I178" s="9" t="n"/>
      <c r="J178" s="9" t="n"/>
      <c r="K178" s="9" t="n"/>
      <c r="L178" s="9" t="n"/>
      <c r="M178" s="9">
        <f>IF($A178="","",IF(COUNTIFS($B$2:$B$1000,$B178,$C$2:$C$1000,$C178,$D$2:$D$1000,$D178,$H$2:$H$1000,$H178)&gt;1,"DUPLICADO",""))</f>
        <v/>
      </c>
    </row>
    <row r="179">
      <c r="A179" s="9" t="n"/>
      <c r="B179" s="30" t="n"/>
      <c r="C179" s="9" t="n"/>
      <c r="D179" s="24" t="n"/>
      <c r="E179" s="24">
        <f>IF($A179="","",ROUND(SUMIFS(Compras!$L$2:$L$5000,Compras!$A$2:$A$5000,$A179),2))</f>
        <v/>
      </c>
      <c r="F179" s="24">
        <f>IF($A179="","",ROUND($D179-$E179,2))</f>
        <v/>
      </c>
      <c r="G179" s="9">
        <f>IF($A179="","",IF(ABS($F179)&lt;=0.02,"OK","REVISAR"))</f>
        <v/>
      </c>
      <c r="H179" s="9" t="n"/>
      <c r="I179" s="9" t="n"/>
      <c r="J179" s="9" t="n"/>
      <c r="K179" s="9" t="n"/>
      <c r="L179" s="9" t="n"/>
      <c r="M179" s="9">
        <f>IF($A179="","",IF(COUNTIFS($B$2:$B$1000,$B179,$C$2:$C$1000,$C179,$D$2:$D$1000,$D179,$H$2:$H$1000,$H179)&gt;1,"DUPLICADO",""))</f>
        <v/>
      </c>
    </row>
    <row r="180">
      <c r="A180" s="9" t="n"/>
      <c r="B180" s="30" t="n"/>
      <c r="C180" s="9" t="n"/>
      <c r="D180" s="24" t="n"/>
      <c r="E180" s="24">
        <f>IF($A180="","",ROUND(SUMIFS(Compras!$L$2:$L$5000,Compras!$A$2:$A$5000,$A180),2))</f>
        <v/>
      </c>
      <c r="F180" s="24">
        <f>IF($A180="","",ROUND($D180-$E180,2))</f>
        <v/>
      </c>
      <c r="G180" s="9">
        <f>IF($A180="","",IF(ABS($F180)&lt;=0.02,"OK","REVISAR"))</f>
        <v/>
      </c>
      <c r="H180" s="9" t="n"/>
      <c r="I180" s="9" t="n"/>
      <c r="J180" s="9" t="n"/>
      <c r="K180" s="9" t="n"/>
      <c r="L180" s="9" t="n"/>
      <c r="M180" s="9">
        <f>IF($A180="","",IF(COUNTIFS($B$2:$B$1000,$B180,$C$2:$C$1000,$C180,$D$2:$D$1000,$D180,$H$2:$H$1000,$H180)&gt;1,"DUPLICADO",""))</f>
        <v/>
      </c>
    </row>
    <row r="181">
      <c r="A181" s="9" t="n"/>
      <c r="B181" s="30" t="n"/>
      <c r="C181" s="9" t="n"/>
      <c r="D181" s="24" t="n"/>
      <c r="E181" s="24">
        <f>IF($A181="","",ROUND(SUMIFS(Compras!$L$2:$L$5000,Compras!$A$2:$A$5000,$A181),2))</f>
        <v/>
      </c>
      <c r="F181" s="24">
        <f>IF($A181="","",ROUND($D181-$E181,2))</f>
        <v/>
      </c>
      <c r="G181" s="9">
        <f>IF($A181="","",IF(ABS($F181)&lt;=0.02,"OK","REVISAR"))</f>
        <v/>
      </c>
      <c r="H181" s="9" t="n"/>
      <c r="I181" s="9" t="n"/>
      <c r="J181" s="9" t="n"/>
      <c r="K181" s="9" t="n"/>
      <c r="L181" s="9" t="n"/>
      <c r="M181" s="9">
        <f>IF($A181="","",IF(COUNTIFS($B$2:$B$1000,$B181,$C$2:$C$1000,$C181,$D$2:$D$1000,$D181,$H$2:$H$1000,$H181)&gt;1,"DUPLICADO",""))</f>
        <v/>
      </c>
    </row>
    <row r="182">
      <c r="A182" s="9" t="n"/>
      <c r="B182" s="30" t="n"/>
      <c r="C182" s="9" t="n"/>
      <c r="D182" s="24" t="n"/>
      <c r="E182" s="24">
        <f>IF($A182="","",ROUND(SUMIFS(Compras!$L$2:$L$5000,Compras!$A$2:$A$5000,$A182),2))</f>
        <v/>
      </c>
      <c r="F182" s="24">
        <f>IF($A182="","",ROUND($D182-$E182,2))</f>
        <v/>
      </c>
      <c r="G182" s="9">
        <f>IF($A182="","",IF(ABS($F182)&lt;=0.02,"OK","REVISAR"))</f>
        <v/>
      </c>
      <c r="H182" s="9" t="n"/>
      <c r="I182" s="9" t="n"/>
      <c r="J182" s="9" t="n"/>
      <c r="K182" s="9" t="n"/>
      <c r="L182" s="9" t="n"/>
      <c r="M182" s="9">
        <f>IF($A182="","",IF(COUNTIFS($B$2:$B$1000,$B182,$C$2:$C$1000,$C182,$D$2:$D$1000,$D182,$H$2:$H$1000,$H182)&gt;1,"DUPLICADO",""))</f>
        <v/>
      </c>
    </row>
    <row r="183">
      <c r="A183" s="9" t="n"/>
      <c r="B183" s="30" t="n"/>
      <c r="C183" s="9" t="n"/>
      <c r="D183" s="24" t="n"/>
      <c r="E183" s="24">
        <f>IF($A183="","",ROUND(SUMIFS(Compras!$L$2:$L$5000,Compras!$A$2:$A$5000,$A183),2))</f>
        <v/>
      </c>
      <c r="F183" s="24">
        <f>IF($A183="","",ROUND($D183-$E183,2))</f>
        <v/>
      </c>
      <c r="G183" s="9">
        <f>IF($A183="","",IF(ABS($F183)&lt;=0.02,"OK","REVISAR"))</f>
        <v/>
      </c>
      <c r="H183" s="9" t="n"/>
      <c r="I183" s="9" t="n"/>
      <c r="J183" s="9" t="n"/>
      <c r="K183" s="9" t="n"/>
      <c r="L183" s="9" t="n"/>
      <c r="M183" s="9">
        <f>IF($A183="","",IF(COUNTIFS($B$2:$B$1000,$B183,$C$2:$C$1000,$C183,$D$2:$D$1000,$D183,$H$2:$H$1000,$H183)&gt;1,"DUPLICADO",""))</f>
        <v/>
      </c>
    </row>
    <row r="184">
      <c r="A184" s="9" t="n"/>
      <c r="B184" s="30" t="n"/>
      <c r="C184" s="9" t="n"/>
      <c r="D184" s="24" t="n"/>
      <c r="E184" s="24">
        <f>IF($A184="","",ROUND(SUMIFS(Compras!$L$2:$L$5000,Compras!$A$2:$A$5000,$A184),2))</f>
        <v/>
      </c>
      <c r="F184" s="24">
        <f>IF($A184="","",ROUND($D184-$E184,2))</f>
        <v/>
      </c>
      <c r="G184" s="9">
        <f>IF($A184="","",IF(ABS($F184)&lt;=0.02,"OK","REVISAR"))</f>
        <v/>
      </c>
      <c r="H184" s="9" t="n"/>
      <c r="I184" s="9" t="n"/>
      <c r="J184" s="9" t="n"/>
      <c r="K184" s="9" t="n"/>
      <c r="L184" s="9" t="n"/>
      <c r="M184" s="9">
        <f>IF($A184="","",IF(COUNTIFS($B$2:$B$1000,$B184,$C$2:$C$1000,$C184,$D$2:$D$1000,$D184,$H$2:$H$1000,$H184)&gt;1,"DUPLICADO",""))</f>
        <v/>
      </c>
    </row>
    <row r="185">
      <c r="A185" s="9" t="n"/>
      <c r="B185" s="30" t="n"/>
      <c r="C185" s="9" t="n"/>
      <c r="D185" s="24" t="n"/>
      <c r="E185" s="24">
        <f>IF($A185="","",ROUND(SUMIFS(Compras!$L$2:$L$5000,Compras!$A$2:$A$5000,$A185),2))</f>
        <v/>
      </c>
      <c r="F185" s="24">
        <f>IF($A185="","",ROUND($D185-$E185,2))</f>
        <v/>
      </c>
      <c r="G185" s="9">
        <f>IF($A185="","",IF(ABS($F185)&lt;=0.02,"OK","REVISAR"))</f>
        <v/>
      </c>
      <c r="H185" s="9" t="n"/>
      <c r="I185" s="9" t="n"/>
      <c r="J185" s="9" t="n"/>
      <c r="K185" s="9" t="n"/>
      <c r="L185" s="9" t="n"/>
      <c r="M185" s="9">
        <f>IF($A185="","",IF(COUNTIFS($B$2:$B$1000,$B185,$C$2:$C$1000,$C185,$D$2:$D$1000,$D185,$H$2:$H$1000,$H185)&gt;1,"DUPLICADO",""))</f>
        <v/>
      </c>
    </row>
    <row r="186">
      <c r="A186" s="9" t="n"/>
      <c r="B186" s="30" t="n"/>
      <c r="C186" s="9" t="n"/>
      <c r="D186" s="24" t="n"/>
      <c r="E186" s="24">
        <f>IF($A186="","",ROUND(SUMIFS(Compras!$L$2:$L$5000,Compras!$A$2:$A$5000,$A186),2))</f>
        <v/>
      </c>
      <c r="F186" s="24">
        <f>IF($A186="","",ROUND($D186-$E186,2))</f>
        <v/>
      </c>
      <c r="G186" s="9">
        <f>IF($A186="","",IF(ABS($F186)&lt;=0.02,"OK","REVISAR"))</f>
        <v/>
      </c>
      <c r="H186" s="9" t="n"/>
      <c r="I186" s="9" t="n"/>
      <c r="J186" s="9" t="n"/>
      <c r="K186" s="9" t="n"/>
      <c r="L186" s="9" t="n"/>
      <c r="M186" s="9">
        <f>IF($A186="","",IF(COUNTIFS($B$2:$B$1000,$B186,$C$2:$C$1000,$C186,$D$2:$D$1000,$D186,$H$2:$H$1000,$H186)&gt;1,"DUPLICADO",""))</f>
        <v/>
      </c>
    </row>
    <row r="187">
      <c r="A187" s="9" t="n"/>
      <c r="B187" s="30" t="n"/>
      <c r="C187" s="9" t="n"/>
      <c r="D187" s="24" t="n"/>
      <c r="E187" s="24">
        <f>IF($A187="","",ROUND(SUMIFS(Compras!$L$2:$L$5000,Compras!$A$2:$A$5000,$A187),2))</f>
        <v/>
      </c>
      <c r="F187" s="24">
        <f>IF($A187="","",ROUND($D187-$E187,2))</f>
        <v/>
      </c>
      <c r="G187" s="9">
        <f>IF($A187="","",IF(ABS($F187)&lt;=0.02,"OK","REVISAR"))</f>
        <v/>
      </c>
      <c r="H187" s="9" t="n"/>
      <c r="I187" s="9" t="n"/>
      <c r="J187" s="9" t="n"/>
      <c r="K187" s="9" t="n"/>
      <c r="L187" s="9" t="n"/>
      <c r="M187" s="9">
        <f>IF($A187="","",IF(COUNTIFS($B$2:$B$1000,$B187,$C$2:$C$1000,$C187,$D$2:$D$1000,$D187,$H$2:$H$1000,$H187)&gt;1,"DUPLICADO",""))</f>
        <v/>
      </c>
    </row>
    <row r="188">
      <c r="A188" s="9" t="n"/>
      <c r="B188" s="30" t="n"/>
      <c r="C188" s="9" t="n"/>
      <c r="D188" s="24" t="n"/>
      <c r="E188" s="24">
        <f>IF($A188="","",ROUND(SUMIFS(Compras!$L$2:$L$5000,Compras!$A$2:$A$5000,$A188),2))</f>
        <v/>
      </c>
      <c r="F188" s="24">
        <f>IF($A188="","",ROUND($D188-$E188,2))</f>
        <v/>
      </c>
      <c r="G188" s="9">
        <f>IF($A188="","",IF(ABS($F188)&lt;=0.02,"OK","REVISAR"))</f>
        <v/>
      </c>
      <c r="H188" s="9" t="n"/>
      <c r="I188" s="9" t="n"/>
      <c r="J188" s="9" t="n"/>
      <c r="K188" s="9" t="n"/>
      <c r="L188" s="9" t="n"/>
      <c r="M188" s="9">
        <f>IF($A188="","",IF(COUNTIFS($B$2:$B$1000,$B188,$C$2:$C$1000,$C188,$D$2:$D$1000,$D188,$H$2:$H$1000,$H188)&gt;1,"DUPLICADO",""))</f>
        <v/>
      </c>
    </row>
    <row r="189">
      <c r="A189" s="9" t="n"/>
      <c r="B189" s="30" t="n"/>
      <c r="C189" s="9" t="n"/>
      <c r="D189" s="24" t="n"/>
      <c r="E189" s="24">
        <f>IF($A189="","",ROUND(SUMIFS(Compras!$L$2:$L$5000,Compras!$A$2:$A$5000,$A189),2))</f>
        <v/>
      </c>
      <c r="F189" s="24">
        <f>IF($A189="","",ROUND($D189-$E189,2))</f>
        <v/>
      </c>
      <c r="G189" s="9">
        <f>IF($A189="","",IF(ABS($F189)&lt;=0.02,"OK","REVISAR"))</f>
        <v/>
      </c>
      <c r="H189" s="9" t="n"/>
      <c r="I189" s="9" t="n"/>
      <c r="J189" s="9" t="n"/>
      <c r="K189" s="9" t="n"/>
      <c r="L189" s="9" t="n"/>
      <c r="M189" s="9">
        <f>IF($A189="","",IF(COUNTIFS($B$2:$B$1000,$B189,$C$2:$C$1000,$C189,$D$2:$D$1000,$D189,$H$2:$H$1000,$H189)&gt;1,"DUPLICADO",""))</f>
        <v/>
      </c>
    </row>
    <row r="190">
      <c r="A190" s="9" t="n"/>
      <c r="B190" s="30" t="n"/>
      <c r="C190" s="9" t="n"/>
      <c r="D190" s="24" t="n"/>
      <c r="E190" s="24">
        <f>IF($A190="","",ROUND(SUMIFS(Compras!$L$2:$L$5000,Compras!$A$2:$A$5000,$A190),2))</f>
        <v/>
      </c>
      <c r="F190" s="24">
        <f>IF($A190="","",ROUND($D190-$E190,2))</f>
        <v/>
      </c>
      <c r="G190" s="9">
        <f>IF($A190="","",IF(ABS($F190)&lt;=0.02,"OK","REVISAR"))</f>
        <v/>
      </c>
      <c r="H190" s="9" t="n"/>
      <c r="I190" s="9" t="n"/>
      <c r="J190" s="9" t="n"/>
      <c r="K190" s="9" t="n"/>
      <c r="L190" s="9" t="n"/>
      <c r="M190" s="9">
        <f>IF($A190="","",IF(COUNTIFS($B$2:$B$1000,$B190,$C$2:$C$1000,$C190,$D$2:$D$1000,$D190,$H$2:$H$1000,$H190)&gt;1,"DUPLICADO",""))</f>
        <v/>
      </c>
    </row>
    <row r="191">
      <c r="A191" s="9" t="n"/>
      <c r="B191" s="30" t="n"/>
      <c r="C191" s="9" t="n"/>
      <c r="D191" s="24" t="n"/>
      <c r="E191" s="24">
        <f>IF($A191="","",ROUND(SUMIFS(Compras!$L$2:$L$5000,Compras!$A$2:$A$5000,$A191),2))</f>
        <v/>
      </c>
      <c r="F191" s="24">
        <f>IF($A191="","",ROUND($D191-$E191,2))</f>
        <v/>
      </c>
      <c r="G191" s="9">
        <f>IF($A191="","",IF(ABS($F191)&lt;=0.02,"OK","REVISAR"))</f>
        <v/>
      </c>
      <c r="H191" s="9" t="n"/>
      <c r="I191" s="9" t="n"/>
      <c r="J191" s="9" t="n"/>
      <c r="K191" s="9" t="n"/>
      <c r="L191" s="9" t="n"/>
      <c r="M191" s="9">
        <f>IF($A191="","",IF(COUNTIFS($B$2:$B$1000,$B191,$C$2:$C$1000,$C191,$D$2:$D$1000,$D191,$H$2:$H$1000,$H191)&gt;1,"DUPLICADO",""))</f>
        <v/>
      </c>
    </row>
    <row r="192">
      <c r="A192" s="9" t="n"/>
      <c r="B192" s="30" t="n"/>
      <c r="C192" s="9" t="n"/>
      <c r="D192" s="24" t="n"/>
      <c r="E192" s="24">
        <f>IF($A192="","",ROUND(SUMIFS(Compras!$L$2:$L$5000,Compras!$A$2:$A$5000,$A192),2))</f>
        <v/>
      </c>
      <c r="F192" s="24">
        <f>IF($A192="","",ROUND($D192-$E192,2))</f>
        <v/>
      </c>
      <c r="G192" s="9">
        <f>IF($A192="","",IF(ABS($F192)&lt;=0.02,"OK","REVISAR"))</f>
        <v/>
      </c>
      <c r="H192" s="9" t="n"/>
      <c r="I192" s="9" t="n"/>
      <c r="J192" s="9" t="n"/>
      <c r="K192" s="9" t="n"/>
      <c r="L192" s="9" t="n"/>
      <c r="M192" s="9">
        <f>IF($A192="","",IF(COUNTIFS($B$2:$B$1000,$B192,$C$2:$C$1000,$C192,$D$2:$D$1000,$D192,$H$2:$H$1000,$H192)&gt;1,"DUPLICADO",""))</f>
        <v/>
      </c>
    </row>
    <row r="193">
      <c r="A193" s="9" t="n"/>
      <c r="B193" s="30" t="n"/>
      <c r="C193" s="9" t="n"/>
      <c r="D193" s="24" t="n"/>
      <c r="E193" s="24">
        <f>IF($A193="","",ROUND(SUMIFS(Compras!$L$2:$L$5000,Compras!$A$2:$A$5000,$A193),2))</f>
        <v/>
      </c>
      <c r="F193" s="24">
        <f>IF($A193="","",ROUND($D193-$E193,2))</f>
        <v/>
      </c>
      <c r="G193" s="9">
        <f>IF($A193="","",IF(ABS($F193)&lt;=0.02,"OK","REVISAR"))</f>
        <v/>
      </c>
      <c r="H193" s="9" t="n"/>
      <c r="I193" s="9" t="n"/>
      <c r="J193" s="9" t="n"/>
      <c r="K193" s="9" t="n"/>
      <c r="L193" s="9" t="n"/>
      <c r="M193" s="9">
        <f>IF($A193="","",IF(COUNTIFS($B$2:$B$1000,$B193,$C$2:$C$1000,$C193,$D$2:$D$1000,$D193,$H$2:$H$1000,$H193)&gt;1,"DUPLICADO",""))</f>
        <v/>
      </c>
    </row>
    <row r="194">
      <c r="A194" s="9" t="n"/>
      <c r="B194" s="30" t="n"/>
      <c r="C194" s="9" t="n"/>
      <c r="D194" s="24" t="n"/>
      <c r="E194" s="24">
        <f>IF($A194="","",ROUND(SUMIFS(Compras!$L$2:$L$5000,Compras!$A$2:$A$5000,$A194),2))</f>
        <v/>
      </c>
      <c r="F194" s="24">
        <f>IF($A194="","",ROUND($D194-$E194,2))</f>
        <v/>
      </c>
      <c r="G194" s="9">
        <f>IF($A194="","",IF(ABS($F194)&lt;=0.02,"OK","REVISAR"))</f>
        <v/>
      </c>
      <c r="H194" s="9" t="n"/>
      <c r="I194" s="9" t="n"/>
      <c r="J194" s="9" t="n"/>
      <c r="K194" s="9" t="n"/>
      <c r="L194" s="9" t="n"/>
      <c r="M194" s="9">
        <f>IF($A194="","",IF(COUNTIFS($B$2:$B$1000,$B194,$C$2:$C$1000,$C194,$D$2:$D$1000,$D194,$H$2:$H$1000,$H194)&gt;1,"DUPLICADO",""))</f>
        <v/>
      </c>
    </row>
    <row r="195">
      <c r="A195" s="9" t="n"/>
      <c r="B195" s="30" t="n"/>
      <c r="C195" s="9" t="n"/>
      <c r="D195" s="24" t="n"/>
      <c r="E195" s="24">
        <f>IF($A195="","",ROUND(SUMIFS(Compras!$L$2:$L$5000,Compras!$A$2:$A$5000,$A195),2))</f>
        <v/>
      </c>
      <c r="F195" s="24">
        <f>IF($A195="","",ROUND($D195-$E195,2))</f>
        <v/>
      </c>
      <c r="G195" s="9">
        <f>IF($A195="","",IF(ABS($F195)&lt;=0.02,"OK","REVISAR"))</f>
        <v/>
      </c>
      <c r="H195" s="9" t="n"/>
      <c r="I195" s="9" t="n"/>
      <c r="J195" s="9" t="n"/>
      <c r="K195" s="9" t="n"/>
      <c r="L195" s="9" t="n"/>
      <c r="M195" s="9">
        <f>IF($A195="","",IF(COUNTIFS($B$2:$B$1000,$B195,$C$2:$C$1000,$C195,$D$2:$D$1000,$D195,$H$2:$H$1000,$H195)&gt;1,"DUPLICADO",""))</f>
        <v/>
      </c>
    </row>
    <row r="196">
      <c r="A196" s="9" t="n"/>
      <c r="B196" s="30" t="n"/>
      <c r="C196" s="9" t="n"/>
      <c r="D196" s="24" t="n"/>
      <c r="E196" s="24">
        <f>IF($A196="","",ROUND(SUMIFS(Compras!$L$2:$L$5000,Compras!$A$2:$A$5000,$A196),2))</f>
        <v/>
      </c>
      <c r="F196" s="24">
        <f>IF($A196="","",ROUND($D196-$E196,2))</f>
        <v/>
      </c>
      <c r="G196" s="9">
        <f>IF($A196="","",IF(ABS($F196)&lt;=0.02,"OK","REVISAR"))</f>
        <v/>
      </c>
      <c r="H196" s="9" t="n"/>
      <c r="I196" s="9" t="n"/>
      <c r="J196" s="9" t="n"/>
      <c r="K196" s="9" t="n"/>
      <c r="L196" s="9" t="n"/>
      <c r="M196" s="9">
        <f>IF($A196="","",IF(COUNTIFS($B$2:$B$1000,$B196,$C$2:$C$1000,$C196,$D$2:$D$1000,$D196,$H$2:$H$1000,$H196)&gt;1,"DUPLICADO",""))</f>
        <v/>
      </c>
    </row>
    <row r="197">
      <c r="A197" s="9" t="n"/>
      <c r="B197" s="30" t="n"/>
      <c r="C197" s="9" t="n"/>
      <c r="D197" s="24" t="n"/>
      <c r="E197" s="24">
        <f>IF($A197="","",ROUND(SUMIFS(Compras!$L$2:$L$5000,Compras!$A$2:$A$5000,$A197),2))</f>
        <v/>
      </c>
      <c r="F197" s="24">
        <f>IF($A197="","",ROUND($D197-$E197,2))</f>
        <v/>
      </c>
      <c r="G197" s="9">
        <f>IF($A197="","",IF(ABS($F197)&lt;=0.02,"OK","REVISAR"))</f>
        <v/>
      </c>
      <c r="H197" s="9" t="n"/>
      <c r="I197" s="9" t="n"/>
      <c r="J197" s="9" t="n"/>
      <c r="K197" s="9" t="n"/>
      <c r="L197" s="9" t="n"/>
      <c r="M197" s="9">
        <f>IF($A197="","",IF(COUNTIFS($B$2:$B$1000,$B197,$C$2:$C$1000,$C197,$D$2:$D$1000,$D197,$H$2:$H$1000,$H197)&gt;1,"DUPLICADO",""))</f>
        <v/>
      </c>
    </row>
    <row r="198">
      <c r="A198" s="9" t="n"/>
      <c r="B198" s="30" t="n"/>
      <c r="C198" s="9" t="n"/>
      <c r="D198" s="24" t="n"/>
      <c r="E198" s="24">
        <f>IF($A198="","",ROUND(SUMIFS(Compras!$L$2:$L$5000,Compras!$A$2:$A$5000,$A198),2))</f>
        <v/>
      </c>
      <c r="F198" s="24">
        <f>IF($A198="","",ROUND($D198-$E198,2))</f>
        <v/>
      </c>
      <c r="G198" s="9">
        <f>IF($A198="","",IF(ABS($F198)&lt;=0.02,"OK","REVISAR"))</f>
        <v/>
      </c>
      <c r="H198" s="9" t="n"/>
      <c r="I198" s="9" t="n"/>
      <c r="J198" s="9" t="n"/>
      <c r="K198" s="9" t="n"/>
      <c r="L198" s="9" t="n"/>
      <c r="M198" s="9">
        <f>IF($A198="","",IF(COUNTIFS($B$2:$B$1000,$B198,$C$2:$C$1000,$C198,$D$2:$D$1000,$D198,$H$2:$H$1000,$H198)&gt;1,"DUPLICADO",""))</f>
        <v/>
      </c>
    </row>
    <row r="199">
      <c r="A199" s="9" t="n"/>
      <c r="B199" s="30" t="n"/>
      <c r="C199" s="9" t="n"/>
      <c r="D199" s="24" t="n"/>
      <c r="E199" s="24">
        <f>IF($A199="","",ROUND(SUMIFS(Compras!$L$2:$L$5000,Compras!$A$2:$A$5000,$A199),2))</f>
        <v/>
      </c>
      <c r="F199" s="24">
        <f>IF($A199="","",ROUND($D199-$E199,2))</f>
        <v/>
      </c>
      <c r="G199" s="9">
        <f>IF($A199="","",IF(ABS($F199)&lt;=0.02,"OK","REVISAR"))</f>
        <v/>
      </c>
      <c r="H199" s="9" t="n"/>
      <c r="I199" s="9" t="n"/>
      <c r="J199" s="9" t="n"/>
      <c r="K199" s="9" t="n"/>
      <c r="L199" s="9" t="n"/>
      <c r="M199" s="9">
        <f>IF($A199="","",IF(COUNTIFS($B$2:$B$1000,$B199,$C$2:$C$1000,$C199,$D$2:$D$1000,$D199,$H$2:$H$1000,$H199)&gt;1,"DUPLICADO",""))</f>
        <v/>
      </c>
    </row>
    <row r="200">
      <c r="A200" s="9" t="n"/>
      <c r="B200" s="30" t="n"/>
      <c r="C200" s="9" t="n"/>
      <c r="D200" s="24" t="n"/>
      <c r="E200" s="24">
        <f>IF($A200="","",ROUND(SUMIFS(Compras!$L$2:$L$5000,Compras!$A$2:$A$5000,$A200),2))</f>
        <v/>
      </c>
      <c r="F200" s="24">
        <f>IF($A200="","",ROUND($D200-$E200,2))</f>
        <v/>
      </c>
      <c r="G200" s="9">
        <f>IF($A200="","",IF(ABS($F200)&lt;=0.02,"OK","REVISAR"))</f>
        <v/>
      </c>
      <c r="H200" s="9" t="n"/>
      <c r="I200" s="9" t="n"/>
      <c r="J200" s="9" t="n"/>
      <c r="K200" s="9" t="n"/>
      <c r="L200" s="9" t="n"/>
      <c r="M200" s="9">
        <f>IF($A200="","",IF(COUNTIFS($B$2:$B$1000,$B200,$C$2:$C$1000,$C200,$D$2:$D$1000,$D200,$H$2:$H$1000,$H200)&gt;1,"DUPLICADO",""))</f>
        <v/>
      </c>
    </row>
    <row r="201">
      <c r="A201" s="9" t="n"/>
      <c r="B201" s="30" t="n"/>
      <c r="C201" s="9" t="n"/>
      <c r="D201" s="24" t="n"/>
      <c r="E201" s="24">
        <f>IF($A201="","",ROUND(SUMIFS(Compras!$L$2:$L$5000,Compras!$A$2:$A$5000,$A201),2))</f>
        <v/>
      </c>
      <c r="F201" s="24">
        <f>IF($A201="","",ROUND($D201-$E201,2))</f>
        <v/>
      </c>
      <c r="G201" s="9">
        <f>IF($A201="","",IF(ABS($F201)&lt;=0.02,"OK","REVISAR"))</f>
        <v/>
      </c>
      <c r="H201" s="9" t="n"/>
      <c r="I201" s="9" t="n"/>
      <c r="J201" s="9" t="n"/>
      <c r="K201" s="9" t="n"/>
      <c r="L201" s="9" t="n"/>
      <c r="M201" s="9">
        <f>IF($A201="","",IF(COUNTIFS($B$2:$B$1000,$B201,$C$2:$C$1000,$C201,$D$2:$D$1000,$D201,$H$2:$H$1000,$H201)&gt;1,"DUPLICADO",""))</f>
        <v/>
      </c>
    </row>
    <row r="202">
      <c r="A202" s="9" t="n"/>
      <c r="B202" s="30" t="n"/>
      <c r="C202" s="9" t="n"/>
      <c r="D202" s="24" t="n"/>
      <c r="E202" s="24">
        <f>IF($A202="","",ROUND(SUMIFS(Compras!$L$2:$L$5000,Compras!$A$2:$A$5000,$A202),2))</f>
        <v/>
      </c>
      <c r="F202" s="24">
        <f>IF($A202="","",ROUND($D202-$E202,2))</f>
        <v/>
      </c>
      <c r="G202" s="9">
        <f>IF($A202="","",IF(ABS($F202)&lt;=0.02,"OK","REVISAR"))</f>
        <v/>
      </c>
      <c r="H202" s="9" t="n"/>
      <c r="I202" s="9" t="n"/>
      <c r="J202" s="9" t="n"/>
      <c r="K202" s="9" t="n"/>
      <c r="L202" s="9" t="n"/>
      <c r="M202" s="9">
        <f>IF($A202="","",IF(COUNTIFS($B$2:$B$1000,$B202,$C$2:$C$1000,$C202,$D$2:$D$1000,$D202,$H$2:$H$1000,$H202)&gt;1,"DUPLICADO",""))</f>
        <v/>
      </c>
    </row>
    <row r="203">
      <c r="A203" s="9" t="n"/>
      <c r="B203" s="30" t="n"/>
      <c r="C203" s="9" t="n"/>
      <c r="D203" s="24" t="n"/>
      <c r="E203" s="24">
        <f>IF($A203="","",ROUND(SUMIFS(Compras!$L$2:$L$5000,Compras!$A$2:$A$5000,$A203),2))</f>
        <v/>
      </c>
      <c r="F203" s="24">
        <f>IF($A203="","",ROUND($D203-$E203,2))</f>
        <v/>
      </c>
      <c r="G203" s="9">
        <f>IF($A203="","",IF(ABS($F203)&lt;=0.02,"OK","REVISAR"))</f>
        <v/>
      </c>
      <c r="H203" s="9" t="n"/>
      <c r="I203" s="9" t="n"/>
      <c r="J203" s="9" t="n"/>
      <c r="K203" s="9" t="n"/>
      <c r="L203" s="9" t="n"/>
      <c r="M203" s="9">
        <f>IF($A203="","",IF(COUNTIFS($B$2:$B$1000,$B203,$C$2:$C$1000,$C203,$D$2:$D$1000,$D203,$H$2:$H$1000,$H203)&gt;1,"DUPLICADO",""))</f>
        <v/>
      </c>
    </row>
    <row r="204">
      <c r="A204" s="9" t="n"/>
      <c r="B204" s="30" t="n"/>
      <c r="C204" s="9" t="n"/>
      <c r="D204" s="24" t="n"/>
      <c r="E204" s="24">
        <f>IF($A204="","",ROUND(SUMIFS(Compras!$L$2:$L$5000,Compras!$A$2:$A$5000,$A204),2))</f>
        <v/>
      </c>
      <c r="F204" s="24">
        <f>IF($A204="","",ROUND($D204-$E204,2))</f>
        <v/>
      </c>
      <c r="G204" s="9">
        <f>IF($A204="","",IF(ABS($F204)&lt;=0.02,"OK","REVISAR"))</f>
        <v/>
      </c>
      <c r="H204" s="9" t="n"/>
      <c r="I204" s="9" t="n"/>
      <c r="J204" s="9" t="n"/>
      <c r="K204" s="9" t="n"/>
      <c r="L204" s="9" t="n"/>
      <c r="M204" s="9">
        <f>IF($A204="","",IF(COUNTIFS($B$2:$B$1000,$B204,$C$2:$C$1000,$C204,$D$2:$D$1000,$D204,$H$2:$H$1000,$H204)&gt;1,"DUPLICADO",""))</f>
        <v/>
      </c>
    </row>
    <row r="205">
      <c r="A205" s="9" t="n"/>
      <c r="B205" s="30" t="n"/>
      <c r="C205" s="9" t="n"/>
      <c r="D205" s="24" t="n"/>
      <c r="E205" s="24">
        <f>IF($A205="","",ROUND(SUMIFS(Compras!$L$2:$L$5000,Compras!$A$2:$A$5000,$A205),2))</f>
        <v/>
      </c>
      <c r="F205" s="24">
        <f>IF($A205="","",ROUND($D205-$E205,2))</f>
        <v/>
      </c>
      <c r="G205" s="9">
        <f>IF($A205="","",IF(ABS($F205)&lt;=0.02,"OK","REVISAR"))</f>
        <v/>
      </c>
      <c r="H205" s="9" t="n"/>
      <c r="I205" s="9" t="n"/>
      <c r="J205" s="9" t="n"/>
      <c r="K205" s="9" t="n"/>
      <c r="L205" s="9" t="n"/>
      <c r="M205" s="9">
        <f>IF($A205="","",IF(COUNTIFS($B$2:$B$1000,$B205,$C$2:$C$1000,$C205,$D$2:$D$1000,$D205,$H$2:$H$1000,$H205)&gt;1,"DUPLICADO",""))</f>
        <v/>
      </c>
    </row>
    <row r="206">
      <c r="A206" s="9" t="n"/>
      <c r="B206" s="30" t="n"/>
      <c r="C206" s="9" t="n"/>
      <c r="D206" s="24" t="n"/>
      <c r="E206" s="24">
        <f>IF($A206="","",ROUND(SUMIFS(Compras!$L$2:$L$5000,Compras!$A$2:$A$5000,$A206),2))</f>
        <v/>
      </c>
      <c r="F206" s="24">
        <f>IF($A206="","",ROUND($D206-$E206,2))</f>
        <v/>
      </c>
      <c r="G206" s="9">
        <f>IF($A206="","",IF(ABS($F206)&lt;=0.02,"OK","REVISAR"))</f>
        <v/>
      </c>
      <c r="H206" s="9" t="n"/>
      <c r="I206" s="9" t="n"/>
      <c r="J206" s="9" t="n"/>
      <c r="K206" s="9" t="n"/>
      <c r="L206" s="9" t="n"/>
      <c r="M206" s="9">
        <f>IF($A206="","",IF(COUNTIFS($B$2:$B$1000,$B206,$C$2:$C$1000,$C206,$D$2:$D$1000,$D206,$H$2:$H$1000,$H206)&gt;1,"DUPLICADO",""))</f>
        <v/>
      </c>
    </row>
    <row r="207">
      <c r="A207" s="9" t="n"/>
      <c r="B207" s="30" t="n"/>
      <c r="C207" s="9" t="n"/>
      <c r="D207" s="24" t="n"/>
      <c r="E207" s="24">
        <f>IF($A207="","",ROUND(SUMIFS(Compras!$L$2:$L$5000,Compras!$A$2:$A$5000,$A207),2))</f>
        <v/>
      </c>
      <c r="F207" s="24">
        <f>IF($A207="","",ROUND($D207-$E207,2))</f>
        <v/>
      </c>
      <c r="G207" s="9">
        <f>IF($A207="","",IF(ABS($F207)&lt;=0.02,"OK","REVISAR"))</f>
        <v/>
      </c>
      <c r="H207" s="9" t="n"/>
      <c r="I207" s="9" t="n"/>
      <c r="J207" s="9" t="n"/>
      <c r="K207" s="9" t="n"/>
      <c r="L207" s="9" t="n"/>
      <c r="M207" s="9">
        <f>IF($A207="","",IF(COUNTIFS($B$2:$B$1000,$B207,$C$2:$C$1000,$C207,$D$2:$D$1000,$D207,$H$2:$H$1000,$H207)&gt;1,"DUPLICADO",""))</f>
        <v/>
      </c>
    </row>
    <row r="208">
      <c r="A208" s="9" t="n"/>
      <c r="B208" s="30" t="n"/>
      <c r="C208" s="9" t="n"/>
      <c r="D208" s="24" t="n"/>
      <c r="E208" s="24">
        <f>IF($A208="","",ROUND(SUMIFS(Compras!$L$2:$L$5000,Compras!$A$2:$A$5000,$A208),2))</f>
        <v/>
      </c>
      <c r="F208" s="24">
        <f>IF($A208="","",ROUND($D208-$E208,2))</f>
        <v/>
      </c>
      <c r="G208" s="9">
        <f>IF($A208="","",IF(ABS($F208)&lt;=0.02,"OK","REVISAR"))</f>
        <v/>
      </c>
      <c r="H208" s="9" t="n"/>
      <c r="I208" s="9" t="n"/>
      <c r="J208" s="9" t="n"/>
      <c r="K208" s="9" t="n"/>
      <c r="L208" s="9" t="n"/>
      <c r="M208" s="9">
        <f>IF($A208="","",IF(COUNTIFS($B$2:$B$1000,$B208,$C$2:$C$1000,$C208,$D$2:$D$1000,$D208,$H$2:$H$1000,$H208)&gt;1,"DUPLICADO",""))</f>
        <v/>
      </c>
    </row>
    <row r="209">
      <c r="A209" s="9" t="n"/>
      <c r="B209" s="30" t="n"/>
      <c r="C209" s="9" t="n"/>
      <c r="D209" s="24" t="n"/>
      <c r="E209" s="24">
        <f>IF($A209="","",ROUND(SUMIFS(Compras!$L$2:$L$5000,Compras!$A$2:$A$5000,$A209),2))</f>
        <v/>
      </c>
      <c r="F209" s="24">
        <f>IF($A209="","",ROUND($D209-$E209,2))</f>
        <v/>
      </c>
      <c r="G209" s="9">
        <f>IF($A209="","",IF(ABS($F209)&lt;=0.02,"OK","REVISAR"))</f>
        <v/>
      </c>
      <c r="H209" s="9" t="n"/>
      <c r="I209" s="9" t="n"/>
      <c r="J209" s="9" t="n"/>
      <c r="K209" s="9" t="n"/>
      <c r="L209" s="9" t="n"/>
      <c r="M209" s="9">
        <f>IF($A209="","",IF(COUNTIFS($B$2:$B$1000,$B209,$C$2:$C$1000,$C209,$D$2:$D$1000,$D209,$H$2:$H$1000,$H209)&gt;1,"DUPLICADO",""))</f>
        <v/>
      </c>
    </row>
    <row r="210">
      <c r="A210" s="9" t="n"/>
      <c r="B210" s="30" t="n"/>
      <c r="C210" s="9" t="n"/>
      <c r="D210" s="24" t="n"/>
      <c r="E210" s="24">
        <f>IF($A210="","",ROUND(SUMIFS(Compras!$L$2:$L$5000,Compras!$A$2:$A$5000,$A210),2))</f>
        <v/>
      </c>
      <c r="F210" s="24">
        <f>IF($A210="","",ROUND($D210-$E210,2))</f>
        <v/>
      </c>
      <c r="G210" s="9">
        <f>IF($A210="","",IF(ABS($F210)&lt;=0.02,"OK","REVISAR"))</f>
        <v/>
      </c>
      <c r="H210" s="9" t="n"/>
      <c r="I210" s="9" t="n"/>
      <c r="J210" s="9" t="n"/>
      <c r="K210" s="9" t="n"/>
      <c r="L210" s="9" t="n"/>
      <c r="M210" s="9">
        <f>IF($A210="","",IF(COUNTIFS($B$2:$B$1000,$B210,$C$2:$C$1000,$C210,$D$2:$D$1000,$D210,$H$2:$H$1000,$H210)&gt;1,"DUPLICADO",""))</f>
        <v/>
      </c>
    </row>
    <row r="211">
      <c r="A211" s="9" t="n"/>
      <c r="B211" s="30" t="n"/>
      <c r="C211" s="9" t="n"/>
      <c r="D211" s="24" t="n"/>
      <c r="E211" s="24">
        <f>IF($A211="","",ROUND(SUMIFS(Compras!$L$2:$L$5000,Compras!$A$2:$A$5000,$A211),2))</f>
        <v/>
      </c>
      <c r="F211" s="24">
        <f>IF($A211="","",ROUND($D211-$E211,2))</f>
        <v/>
      </c>
      <c r="G211" s="9">
        <f>IF($A211="","",IF(ABS($F211)&lt;=0.02,"OK","REVISAR"))</f>
        <v/>
      </c>
      <c r="H211" s="9" t="n"/>
      <c r="I211" s="9" t="n"/>
      <c r="J211" s="9" t="n"/>
      <c r="K211" s="9" t="n"/>
      <c r="L211" s="9" t="n"/>
      <c r="M211" s="9">
        <f>IF($A211="","",IF(COUNTIFS($B$2:$B$1000,$B211,$C$2:$C$1000,$C211,$D$2:$D$1000,$D211,$H$2:$H$1000,$H211)&gt;1,"DUPLICADO",""))</f>
        <v/>
      </c>
    </row>
    <row r="212">
      <c r="A212" s="9" t="n"/>
      <c r="B212" s="30" t="n"/>
      <c r="C212" s="9" t="n"/>
      <c r="D212" s="24" t="n"/>
      <c r="E212" s="24">
        <f>IF($A212="","",ROUND(SUMIFS(Compras!$L$2:$L$5000,Compras!$A$2:$A$5000,$A212),2))</f>
        <v/>
      </c>
      <c r="F212" s="24">
        <f>IF($A212="","",ROUND($D212-$E212,2))</f>
        <v/>
      </c>
      <c r="G212" s="9">
        <f>IF($A212="","",IF(ABS($F212)&lt;=0.02,"OK","REVISAR"))</f>
        <v/>
      </c>
      <c r="H212" s="9" t="n"/>
      <c r="I212" s="9" t="n"/>
      <c r="J212" s="9" t="n"/>
      <c r="K212" s="9" t="n"/>
      <c r="L212" s="9" t="n"/>
      <c r="M212" s="9">
        <f>IF($A212="","",IF(COUNTIFS($B$2:$B$1000,$B212,$C$2:$C$1000,$C212,$D$2:$D$1000,$D212,$H$2:$H$1000,$H212)&gt;1,"DUPLICADO",""))</f>
        <v/>
      </c>
    </row>
    <row r="213">
      <c r="A213" s="9" t="n"/>
      <c r="B213" s="30" t="n"/>
      <c r="C213" s="9" t="n"/>
      <c r="D213" s="24" t="n"/>
      <c r="E213" s="24">
        <f>IF($A213="","",ROUND(SUMIFS(Compras!$L$2:$L$5000,Compras!$A$2:$A$5000,$A213),2))</f>
        <v/>
      </c>
      <c r="F213" s="24">
        <f>IF($A213="","",ROUND($D213-$E213,2))</f>
        <v/>
      </c>
      <c r="G213" s="9">
        <f>IF($A213="","",IF(ABS($F213)&lt;=0.02,"OK","REVISAR"))</f>
        <v/>
      </c>
      <c r="H213" s="9" t="n"/>
      <c r="I213" s="9" t="n"/>
      <c r="J213" s="9" t="n"/>
      <c r="K213" s="9" t="n"/>
      <c r="L213" s="9" t="n"/>
      <c r="M213" s="9">
        <f>IF($A213="","",IF(COUNTIFS($B$2:$B$1000,$B213,$C$2:$C$1000,$C213,$D$2:$D$1000,$D213,$H$2:$H$1000,$H213)&gt;1,"DUPLICADO",""))</f>
        <v/>
      </c>
    </row>
    <row r="214">
      <c r="A214" s="9" t="n"/>
      <c r="B214" s="30" t="n"/>
      <c r="C214" s="9" t="n"/>
      <c r="D214" s="24" t="n"/>
      <c r="E214" s="24">
        <f>IF($A214="","",ROUND(SUMIFS(Compras!$L$2:$L$5000,Compras!$A$2:$A$5000,$A214),2))</f>
        <v/>
      </c>
      <c r="F214" s="24">
        <f>IF($A214="","",ROUND($D214-$E214,2))</f>
        <v/>
      </c>
      <c r="G214" s="9">
        <f>IF($A214="","",IF(ABS($F214)&lt;=0.02,"OK","REVISAR"))</f>
        <v/>
      </c>
      <c r="H214" s="9" t="n"/>
      <c r="I214" s="9" t="n"/>
      <c r="J214" s="9" t="n"/>
      <c r="K214" s="9" t="n"/>
      <c r="L214" s="9" t="n"/>
      <c r="M214" s="9">
        <f>IF($A214="","",IF(COUNTIFS($B$2:$B$1000,$B214,$C$2:$C$1000,$C214,$D$2:$D$1000,$D214,$H$2:$H$1000,$H214)&gt;1,"DUPLICADO",""))</f>
        <v/>
      </c>
    </row>
    <row r="215">
      <c r="A215" s="9" t="n"/>
      <c r="B215" s="30" t="n"/>
      <c r="C215" s="9" t="n"/>
      <c r="D215" s="24" t="n"/>
      <c r="E215" s="24">
        <f>IF($A215="","",ROUND(SUMIFS(Compras!$L$2:$L$5000,Compras!$A$2:$A$5000,$A215),2))</f>
        <v/>
      </c>
      <c r="F215" s="24">
        <f>IF($A215="","",ROUND($D215-$E215,2))</f>
        <v/>
      </c>
      <c r="G215" s="9">
        <f>IF($A215="","",IF(ABS($F215)&lt;=0.02,"OK","REVISAR"))</f>
        <v/>
      </c>
      <c r="H215" s="9" t="n"/>
      <c r="I215" s="9" t="n"/>
      <c r="J215" s="9" t="n"/>
      <c r="K215" s="9" t="n"/>
      <c r="L215" s="9" t="n"/>
      <c r="M215" s="9">
        <f>IF($A215="","",IF(COUNTIFS($B$2:$B$1000,$B215,$C$2:$C$1000,$C215,$D$2:$D$1000,$D215,$H$2:$H$1000,$H215)&gt;1,"DUPLICADO",""))</f>
        <v/>
      </c>
    </row>
    <row r="216">
      <c r="A216" s="9" t="n"/>
      <c r="B216" s="30" t="n"/>
      <c r="C216" s="9" t="n"/>
      <c r="D216" s="24" t="n"/>
      <c r="E216" s="24">
        <f>IF($A216="","",ROUND(SUMIFS(Compras!$L$2:$L$5000,Compras!$A$2:$A$5000,$A216),2))</f>
        <v/>
      </c>
      <c r="F216" s="24">
        <f>IF($A216="","",ROUND($D216-$E216,2))</f>
        <v/>
      </c>
      <c r="G216" s="9">
        <f>IF($A216="","",IF(ABS($F216)&lt;=0.02,"OK","REVISAR"))</f>
        <v/>
      </c>
      <c r="H216" s="9" t="n"/>
      <c r="I216" s="9" t="n"/>
      <c r="J216" s="9" t="n"/>
      <c r="K216" s="9" t="n"/>
      <c r="L216" s="9" t="n"/>
      <c r="M216" s="9">
        <f>IF($A216="","",IF(COUNTIFS($B$2:$B$1000,$B216,$C$2:$C$1000,$C216,$D$2:$D$1000,$D216,$H$2:$H$1000,$H216)&gt;1,"DUPLICADO",""))</f>
        <v/>
      </c>
    </row>
    <row r="217">
      <c r="A217" s="9" t="n"/>
      <c r="B217" s="30" t="n"/>
      <c r="C217" s="9" t="n"/>
      <c r="D217" s="24" t="n"/>
      <c r="E217" s="24">
        <f>IF($A217="","",ROUND(SUMIFS(Compras!$L$2:$L$5000,Compras!$A$2:$A$5000,$A217),2))</f>
        <v/>
      </c>
      <c r="F217" s="24">
        <f>IF($A217="","",ROUND($D217-$E217,2))</f>
        <v/>
      </c>
      <c r="G217" s="9">
        <f>IF($A217="","",IF(ABS($F217)&lt;=0.02,"OK","REVISAR"))</f>
        <v/>
      </c>
      <c r="H217" s="9" t="n"/>
      <c r="I217" s="9" t="n"/>
      <c r="J217" s="9" t="n"/>
      <c r="K217" s="9" t="n"/>
      <c r="L217" s="9" t="n"/>
      <c r="M217" s="9">
        <f>IF($A217="","",IF(COUNTIFS($B$2:$B$1000,$B217,$C$2:$C$1000,$C217,$D$2:$D$1000,$D217,$H$2:$H$1000,$H217)&gt;1,"DUPLICADO",""))</f>
        <v/>
      </c>
    </row>
    <row r="218">
      <c r="A218" s="9" t="n"/>
      <c r="B218" s="30" t="n"/>
      <c r="C218" s="9" t="n"/>
      <c r="D218" s="24" t="n"/>
      <c r="E218" s="24">
        <f>IF($A218="","",ROUND(SUMIFS(Compras!$L$2:$L$5000,Compras!$A$2:$A$5000,$A218),2))</f>
        <v/>
      </c>
      <c r="F218" s="24">
        <f>IF($A218="","",ROUND($D218-$E218,2))</f>
        <v/>
      </c>
      <c r="G218" s="9">
        <f>IF($A218="","",IF(ABS($F218)&lt;=0.02,"OK","REVISAR"))</f>
        <v/>
      </c>
      <c r="H218" s="9" t="n"/>
      <c r="I218" s="9" t="n"/>
      <c r="J218" s="9" t="n"/>
      <c r="K218" s="9" t="n"/>
      <c r="L218" s="9" t="n"/>
      <c r="M218" s="9">
        <f>IF($A218="","",IF(COUNTIFS($B$2:$B$1000,$B218,$C$2:$C$1000,$C218,$D$2:$D$1000,$D218,$H$2:$H$1000,$H218)&gt;1,"DUPLICADO",""))</f>
        <v/>
      </c>
    </row>
    <row r="219">
      <c r="A219" s="9" t="n"/>
      <c r="B219" s="30" t="n"/>
      <c r="C219" s="9" t="n"/>
      <c r="D219" s="24" t="n"/>
      <c r="E219" s="24">
        <f>IF($A219="","",ROUND(SUMIFS(Compras!$L$2:$L$5000,Compras!$A$2:$A$5000,$A219),2))</f>
        <v/>
      </c>
      <c r="F219" s="24">
        <f>IF($A219="","",ROUND($D219-$E219,2))</f>
        <v/>
      </c>
      <c r="G219" s="9">
        <f>IF($A219="","",IF(ABS($F219)&lt;=0.02,"OK","REVISAR"))</f>
        <v/>
      </c>
      <c r="H219" s="9" t="n"/>
      <c r="I219" s="9" t="n"/>
      <c r="J219" s="9" t="n"/>
      <c r="K219" s="9" t="n"/>
      <c r="L219" s="9" t="n"/>
      <c r="M219" s="9">
        <f>IF($A219="","",IF(COUNTIFS($B$2:$B$1000,$B219,$C$2:$C$1000,$C219,$D$2:$D$1000,$D219,$H$2:$H$1000,$H219)&gt;1,"DUPLICADO",""))</f>
        <v/>
      </c>
    </row>
    <row r="220">
      <c r="A220" s="9" t="n"/>
      <c r="B220" s="30" t="n"/>
      <c r="C220" s="9" t="n"/>
      <c r="D220" s="24" t="n"/>
      <c r="E220" s="24">
        <f>IF($A220="","",ROUND(SUMIFS(Compras!$L$2:$L$5000,Compras!$A$2:$A$5000,$A220),2))</f>
        <v/>
      </c>
      <c r="F220" s="24">
        <f>IF($A220="","",ROUND($D220-$E220,2))</f>
        <v/>
      </c>
      <c r="G220" s="9">
        <f>IF($A220="","",IF(ABS($F220)&lt;=0.02,"OK","REVISAR"))</f>
        <v/>
      </c>
      <c r="H220" s="9" t="n"/>
      <c r="I220" s="9" t="n"/>
      <c r="J220" s="9" t="n"/>
      <c r="K220" s="9" t="n"/>
      <c r="L220" s="9" t="n"/>
      <c r="M220" s="9">
        <f>IF($A220="","",IF(COUNTIFS($B$2:$B$1000,$B220,$C$2:$C$1000,$C220,$D$2:$D$1000,$D220,$H$2:$H$1000,$H220)&gt;1,"DUPLICADO",""))</f>
        <v/>
      </c>
    </row>
    <row r="221">
      <c r="A221" s="9" t="n"/>
      <c r="B221" s="30" t="n"/>
      <c r="C221" s="9" t="n"/>
      <c r="D221" s="24" t="n"/>
      <c r="E221" s="24">
        <f>IF($A221="","",ROUND(SUMIFS(Compras!$L$2:$L$5000,Compras!$A$2:$A$5000,$A221),2))</f>
        <v/>
      </c>
      <c r="F221" s="24">
        <f>IF($A221="","",ROUND($D221-$E221,2))</f>
        <v/>
      </c>
      <c r="G221" s="9">
        <f>IF($A221="","",IF(ABS($F221)&lt;=0.02,"OK","REVISAR"))</f>
        <v/>
      </c>
      <c r="H221" s="9" t="n"/>
      <c r="I221" s="9" t="n"/>
      <c r="J221" s="9" t="n"/>
      <c r="K221" s="9" t="n"/>
      <c r="L221" s="9" t="n"/>
      <c r="M221" s="9">
        <f>IF($A221="","",IF(COUNTIFS($B$2:$B$1000,$B221,$C$2:$C$1000,$C221,$D$2:$D$1000,$D221,$H$2:$H$1000,$H221)&gt;1,"DUPLICADO",""))</f>
        <v/>
      </c>
    </row>
    <row r="222">
      <c r="A222" s="9" t="n"/>
      <c r="B222" s="30" t="n"/>
      <c r="C222" s="9" t="n"/>
      <c r="D222" s="24" t="n"/>
      <c r="E222" s="24">
        <f>IF($A222="","",ROUND(SUMIFS(Compras!$L$2:$L$5000,Compras!$A$2:$A$5000,$A222),2))</f>
        <v/>
      </c>
      <c r="F222" s="24">
        <f>IF($A222="","",ROUND($D222-$E222,2))</f>
        <v/>
      </c>
      <c r="G222" s="9">
        <f>IF($A222="","",IF(ABS($F222)&lt;=0.02,"OK","REVISAR"))</f>
        <v/>
      </c>
      <c r="H222" s="9" t="n"/>
      <c r="I222" s="9" t="n"/>
      <c r="J222" s="9" t="n"/>
      <c r="K222" s="9" t="n"/>
      <c r="L222" s="9" t="n"/>
      <c r="M222" s="9">
        <f>IF($A222="","",IF(COUNTIFS($B$2:$B$1000,$B222,$C$2:$C$1000,$C222,$D$2:$D$1000,$D222,$H$2:$H$1000,$H222)&gt;1,"DUPLICADO",""))</f>
        <v/>
      </c>
    </row>
    <row r="223">
      <c r="A223" s="9" t="n"/>
      <c r="B223" s="30" t="n"/>
      <c r="C223" s="9" t="n"/>
      <c r="D223" s="24" t="n"/>
      <c r="E223" s="24">
        <f>IF($A223="","",ROUND(SUMIFS(Compras!$L$2:$L$5000,Compras!$A$2:$A$5000,$A223),2))</f>
        <v/>
      </c>
      <c r="F223" s="24">
        <f>IF($A223="","",ROUND($D223-$E223,2))</f>
        <v/>
      </c>
      <c r="G223" s="9">
        <f>IF($A223="","",IF(ABS($F223)&lt;=0.02,"OK","REVISAR"))</f>
        <v/>
      </c>
      <c r="H223" s="9" t="n"/>
      <c r="I223" s="9" t="n"/>
      <c r="J223" s="9" t="n"/>
      <c r="K223" s="9" t="n"/>
      <c r="L223" s="9" t="n"/>
      <c r="M223" s="9">
        <f>IF($A223="","",IF(COUNTIFS($B$2:$B$1000,$B223,$C$2:$C$1000,$C223,$D$2:$D$1000,$D223,$H$2:$H$1000,$H223)&gt;1,"DUPLICADO",""))</f>
        <v/>
      </c>
    </row>
    <row r="224">
      <c r="A224" s="9" t="n"/>
      <c r="B224" s="30" t="n"/>
      <c r="C224" s="9" t="n"/>
      <c r="D224" s="24" t="n"/>
      <c r="E224" s="24">
        <f>IF($A224="","",ROUND(SUMIFS(Compras!$L$2:$L$5000,Compras!$A$2:$A$5000,$A224),2))</f>
        <v/>
      </c>
      <c r="F224" s="24">
        <f>IF($A224="","",ROUND($D224-$E224,2))</f>
        <v/>
      </c>
      <c r="G224" s="9">
        <f>IF($A224="","",IF(ABS($F224)&lt;=0.02,"OK","REVISAR"))</f>
        <v/>
      </c>
      <c r="H224" s="9" t="n"/>
      <c r="I224" s="9" t="n"/>
      <c r="J224" s="9" t="n"/>
      <c r="K224" s="9" t="n"/>
      <c r="L224" s="9" t="n"/>
      <c r="M224" s="9">
        <f>IF($A224="","",IF(COUNTIFS($B$2:$B$1000,$B224,$C$2:$C$1000,$C224,$D$2:$D$1000,$D224,$H$2:$H$1000,$H224)&gt;1,"DUPLICADO",""))</f>
        <v/>
      </c>
    </row>
    <row r="225">
      <c r="A225" s="9" t="n"/>
      <c r="B225" s="30" t="n"/>
      <c r="C225" s="9" t="n"/>
      <c r="D225" s="24" t="n"/>
      <c r="E225" s="24">
        <f>IF($A225="","",ROUND(SUMIFS(Compras!$L$2:$L$5000,Compras!$A$2:$A$5000,$A225),2))</f>
        <v/>
      </c>
      <c r="F225" s="24">
        <f>IF($A225="","",ROUND($D225-$E225,2))</f>
        <v/>
      </c>
      <c r="G225" s="9">
        <f>IF($A225="","",IF(ABS($F225)&lt;=0.02,"OK","REVISAR"))</f>
        <v/>
      </c>
      <c r="H225" s="9" t="n"/>
      <c r="I225" s="9" t="n"/>
      <c r="J225" s="9" t="n"/>
      <c r="K225" s="9" t="n"/>
      <c r="L225" s="9" t="n"/>
      <c r="M225" s="9">
        <f>IF($A225="","",IF(COUNTIFS($B$2:$B$1000,$B225,$C$2:$C$1000,$C225,$D$2:$D$1000,$D225,$H$2:$H$1000,$H225)&gt;1,"DUPLICADO",""))</f>
        <v/>
      </c>
    </row>
    <row r="226">
      <c r="A226" s="9" t="n"/>
      <c r="B226" s="30" t="n"/>
      <c r="C226" s="9" t="n"/>
      <c r="D226" s="24" t="n"/>
      <c r="E226" s="24">
        <f>IF($A226="","",ROUND(SUMIFS(Compras!$L$2:$L$5000,Compras!$A$2:$A$5000,$A226),2))</f>
        <v/>
      </c>
      <c r="F226" s="24">
        <f>IF($A226="","",ROUND($D226-$E226,2))</f>
        <v/>
      </c>
      <c r="G226" s="9">
        <f>IF($A226="","",IF(ABS($F226)&lt;=0.02,"OK","REVISAR"))</f>
        <v/>
      </c>
      <c r="H226" s="9" t="n"/>
      <c r="I226" s="9" t="n"/>
      <c r="J226" s="9" t="n"/>
      <c r="K226" s="9" t="n"/>
      <c r="L226" s="9" t="n"/>
      <c r="M226" s="9">
        <f>IF($A226="","",IF(COUNTIFS($B$2:$B$1000,$B226,$C$2:$C$1000,$C226,$D$2:$D$1000,$D226,$H$2:$H$1000,$H226)&gt;1,"DUPLICADO",""))</f>
        <v/>
      </c>
    </row>
    <row r="227">
      <c r="A227" s="9" t="n"/>
      <c r="B227" s="30" t="n"/>
      <c r="C227" s="9" t="n"/>
      <c r="D227" s="24" t="n"/>
      <c r="E227" s="24">
        <f>IF($A227="","",ROUND(SUMIFS(Compras!$L$2:$L$5000,Compras!$A$2:$A$5000,$A227),2))</f>
        <v/>
      </c>
      <c r="F227" s="24">
        <f>IF($A227="","",ROUND($D227-$E227,2))</f>
        <v/>
      </c>
      <c r="G227" s="9">
        <f>IF($A227="","",IF(ABS($F227)&lt;=0.02,"OK","REVISAR"))</f>
        <v/>
      </c>
      <c r="H227" s="9" t="n"/>
      <c r="I227" s="9" t="n"/>
      <c r="J227" s="9" t="n"/>
      <c r="K227" s="9" t="n"/>
      <c r="L227" s="9" t="n"/>
      <c r="M227" s="9">
        <f>IF($A227="","",IF(COUNTIFS($B$2:$B$1000,$B227,$C$2:$C$1000,$C227,$D$2:$D$1000,$D227,$H$2:$H$1000,$H227)&gt;1,"DUPLICADO",""))</f>
        <v/>
      </c>
    </row>
    <row r="228">
      <c r="A228" s="9" t="n"/>
      <c r="B228" s="30" t="n"/>
      <c r="C228" s="9" t="n"/>
      <c r="D228" s="24" t="n"/>
      <c r="E228" s="24">
        <f>IF($A228="","",ROUND(SUMIFS(Compras!$L$2:$L$5000,Compras!$A$2:$A$5000,$A228),2))</f>
        <v/>
      </c>
      <c r="F228" s="24">
        <f>IF($A228="","",ROUND($D228-$E228,2))</f>
        <v/>
      </c>
      <c r="G228" s="9">
        <f>IF($A228="","",IF(ABS($F228)&lt;=0.02,"OK","REVISAR"))</f>
        <v/>
      </c>
      <c r="H228" s="9" t="n"/>
      <c r="I228" s="9" t="n"/>
      <c r="J228" s="9" t="n"/>
      <c r="K228" s="9" t="n"/>
      <c r="L228" s="9" t="n"/>
      <c r="M228" s="9">
        <f>IF($A228="","",IF(COUNTIFS($B$2:$B$1000,$B228,$C$2:$C$1000,$C228,$D$2:$D$1000,$D228,$H$2:$H$1000,$H228)&gt;1,"DUPLICADO",""))</f>
        <v/>
      </c>
    </row>
    <row r="229">
      <c r="A229" s="9" t="n"/>
      <c r="B229" s="30" t="n"/>
      <c r="C229" s="9" t="n"/>
      <c r="D229" s="24" t="n"/>
      <c r="E229" s="24">
        <f>IF($A229="","",ROUND(SUMIFS(Compras!$L$2:$L$5000,Compras!$A$2:$A$5000,$A229),2))</f>
        <v/>
      </c>
      <c r="F229" s="24">
        <f>IF($A229="","",ROUND($D229-$E229,2))</f>
        <v/>
      </c>
      <c r="G229" s="9">
        <f>IF($A229="","",IF(ABS($F229)&lt;=0.02,"OK","REVISAR"))</f>
        <v/>
      </c>
      <c r="H229" s="9" t="n"/>
      <c r="I229" s="9" t="n"/>
      <c r="J229" s="9" t="n"/>
      <c r="K229" s="9" t="n"/>
      <c r="L229" s="9" t="n"/>
      <c r="M229" s="9">
        <f>IF($A229="","",IF(COUNTIFS($B$2:$B$1000,$B229,$C$2:$C$1000,$C229,$D$2:$D$1000,$D229,$H$2:$H$1000,$H229)&gt;1,"DUPLICADO",""))</f>
        <v/>
      </c>
    </row>
    <row r="230">
      <c r="A230" s="9" t="n"/>
      <c r="B230" s="30" t="n"/>
      <c r="C230" s="9" t="n"/>
      <c r="D230" s="24" t="n"/>
      <c r="E230" s="24">
        <f>IF($A230="","",ROUND(SUMIFS(Compras!$L$2:$L$5000,Compras!$A$2:$A$5000,$A230),2))</f>
        <v/>
      </c>
      <c r="F230" s="24">
        <f>IF($A230="","",ROUND($D230-$E230,2))</f>
        <v/>
      </c>
      <c r="G230" s="9">
        <f>IF($A230="","",IF(ABS($F230)&lt;=0.02,"OK","REVISAR"))</f>
        <v/>
      </c>
      <c r="H230" s="9" t="n"/>
      <c r="I230" s="9" t="n"/>
      <c r="J230" s="9" t="n"/>
      <c r="K230" s="9" t="n"/>
      <c r="L230" s="9" t="n"/>
      <c r="M230" s="9">
        <f>IF($A230="","",IF(COUNTIFS($B$2:$B$1000,$B230,$C$2:$C$1000,$C230,$D$2:$D$1000,$D230,$H$2:$H$1000,$H230)&gt;1,"DUPLICADO",""))</f>
        <v/>
      </c>
    </row>
    <row r="231">
      <c r="A231" s="9" t="n"/>
      <c r="B231" s="30" t="n"/>
      <c r="C231" s="9" t="n"/>
      <c r="D231" s="24" t="n"/>
      <c r="E231" s="24">
        <f>IF($A231="","",ROUND(SUMIFS(Compras!$L$2:$L$5000,Compras!$A$2:$A$5000,$A231),2))</f>
        <v/>
      </c>
      <c r="F231" s="24">
        <f>IF($A231="","",ROUND($D231-$E231,2))</f>
        <v/>
      </c>
      <c r="G231" s="9">
        <f>IF($A231="","",IF(ABS($F231)&lt;=0.02,"OK","REVISAR"))</f>
        <v/>
      </c>
      <c r="H231" s="9" t="n"/>
      <c r="I231" s="9" t="n"/>
      <c r="J231" s="9" t="n"/>
      <c r="K231" s="9" t="n"/>
      <c r="L231" s="9" t="n"/>
      <c r="M231" s="9">
        <f>IF($A231="","",IF(COUNTIFS($B$2:$B$1000,$B231,$C$2:$C$1000,$C231,$D$2:$D$1000,$D231,$H$2:$H$1000,$H231)&gt;1,"DUPLICADO",""))</f>
        <v/>
      </c>
    </row>
    <row r="232">
      <c r="A232" s="9" t="n"/>
      <c r="B232" s="30" t="n"/>
      <c r="C232" s="9" t="n"/>
      <c r="D232" s="24" t="n"/>
      <c r="E232" s="24">
        <f>IF($A232="","",ROUND(SUMIFS(Compras!$L$2:$L$5000,Compras!$A$2:$A$5000,$A232),2))</f>
        <v/>
      </c>
      <c r="F232" s="24">
        <f>IF($A232="","",ROUND($D232-$E232,2))</f>
        <v/>
      </c>
      <c r="G232" s="9">
        <f>IF($A232="","",IF(ABS($F232)&lt;=0.02,"OK","REVISAR"))</f>
        <v/>
      </c>
      <c r="H232" s="9" t="n"/>
      <c r="I232" s="9" t="n"/>
      <c r="J232" s="9" t="n"/>
      <c r="K232" s="9" t="n"/>
      <c r="L232" s="9" t="n"/>
      <c r="M232" s="9">
        <f>IF($A232="","",IF(COUNTIFS($B$2:$B$1000,$B232,$C$2:$C$1000,$C232,$D$2:$D$1000,$D232,$H$2:$H$1000,$H232)&gt;1,"DUPLICADO",""))</f>
        <v/>
      </c>
    </row>
    <row r="233">
      <c r="A233" s="9" t="n"/>
      <c r="B233" s="30" t="n"/>
      <c r="C233" s="9" t="n"/>
      <c r="D233" s="24" t="n"/>
      <c r="E233" s="24">
        <f>IF($A233="","",ROUND(SUMIFS(Compras!$L$2:$L$5000,Compras!$A$2:$A$5000,$A233),2))</f>
        <v/>
      </c>
      <c r="F233" s="24">
        <f>IF($A233="","",ROUND($D233-$E233,2))</f>
        <v/>
      </c>
      <c r="G233" s="9">
        <f>IF($A233="","",IF(ABS($F233)&lt;=0.02,"OK","REVISAR"))</f>
        <v/>
      </c>
      <c r="H233" s="9" t="n"/>
      <c r="I233" s="9" t="n"/>
      <c r="J233" s="9" t="n"/>
      <c r="K233" s="9" t="n"/>
      <c r="L233" s="9" t="n"/>
      <c r="M233" s="9">
        <f>IF($A233="","",IF(COUNTIFS($B$2:$B$1000,$B233,$C$2:$C$1000,$C233,$D$2:$D$1000,$D233,$H$2:$H$1000,$H233)&gt;1,"DUPLICADO",""))</f>
        <v/>
      </c>
    </row>
    <row r="234">
      <c r="A234" s="9" t="n"/>
      <c r="B234" s="30" t="n"/>
      <c r="C234" s="9" t="n"/>
      <c r="D234" s="24" t="n"/>
      <c r="E234" s="24">
        <f>IF($A234="","",ROUND(SUMIFS(Compras!$L$2:$L$5000,Compras!$A$2:$A$5000,$A234),2))</f>
        <v/>
      </c>
      <c r="F234" s="24">
        <f>IF($A234="","",ROUND($D234-$E234,2))</f>
        <v/>
      </c>
      <c r="G234" s="9">
        <f>IF($A234="","",IF(ABS($F234)&lt;=0.02,"OK","REVISAR"))</f>
        <v/>
      </c>
      <c r="H234" s="9" t="n"/>
      <c r="I234" s="9" t="n"/>
      <c r="J234" s="9" t="n"/>
      <c r="K234" s="9" t="n"/>
      <c r="L234" s="9" t="n"/>
      <c r="M234" s="9">
        <f>IF($A234="","",IF(COUNTIFS($B$2:$B$1000,$B234,$C$2:$C$1000,$C234,$D$2:$D$1000,$D234,$H$2:$H$1000,$H234)&gt;1,"DUPLICADO",""))</f>
        <v/>
      </c>
    </row>
    <row r="235">
      <c r="A235" s="9" t="n"/>
      <c r="B235" s="30" t="n"/>
      <c r="C235" s="9" t="n"/>
      <c r="D235" s="24" t="n"/>
      <c r="E235" s="24">
        <f>IF($A235="","",ROUND(SUMIFS(Compras!$L$2:$L$5000,Compras!$A$2:$A$5000,$A235),2))</f>
        <v/>
      </c>
      <c r="F235" s="24">
        <f>IF($A235="","",ROUND($D235-$E235,2))</f>
        <v/>
      </c>
      <c r="G235" s="9">
        <f>IF($A235="","",IF(ABS($F235)&lt;=0.02,"OK","REVISAR"))</f>
        <v/>
      </c>
      <c r="H235" s="9" t="n"/>
      <c r="I235" s="9" t="n"/>
      <c r="J235" s="9" t="n"/>
      <c r="K235" s="9" t="n"/>
      <c r="L235" s="9" t="n"/>
      <c r="M235" s="9">
        <f>IF($A235="","",IF(COUNTIFS($B$2:$B$1000,$B235,$C$2:$C$1000,$C235,$D$2:$D$1000,$D235,$H$2:$H$1000,$H235)&gt;1,"DUPLICADO",""))</f>
        <v/>
      </c>
    </row>
    <row r="236">
      <c r="A236" s="9" t="n"/>
      <c r="B236" s="30" t="n"/>
      <c r="C236" s="9" t="n"/>
      <c r="D236" s="24" t="n"/>
      <c r="E236" s="24">
        <f>IF($A236="","",ROUND(SUMIFS(Compras!$L$2:$L$5000,Compras!$A$2:$A$5000,$A236),2))</f>
        <v/>
      </c>
      <c r="F236" s="24">
        <f>IF($A236="","",ROUND($D236-$E236,2))</f>
        <v/>
      </c>
      <c r="G236" s="9">
        <f>IF($A236="","",IF(ABS($F236)&lt;=0.02,"OK","REVISAR"))</f>
        <v/>
      </c>
      <c r="H236" s="9" t="n"/>
      <c r="I236" s="9" t="n"/>
      <c r="J236" s="9" t="n"/>
      <c r="K236" s="9" t="n"/>
      <c r="L236" s="9" t="n"/>
      <c r="M236" s="9">
        <f>IF($A236="","",IF(COUNTIFS($B$2:$B$1000,$B236,$C$2:$C$1000,$C236,$D$2:$D$1000,$D236,$H$2:$H$1000,$H236)&gt;1,"DUPLICADO",""))</f>
        <v/>
      </c>
    </row>
    <row r="237">
      <c r="A237" s="9" t="n"/>
      <c r="B237" s="30" t="n"/>
      <c r="C237" s="9" t="n"/>
      <c r="D237" s="24" t="n"/>
      <c r="E237" s="24">
        <f>IF($A237="","",ROUND(SUMIFS(Compras!$L$2:$L$5000,Compras!$A$2:$A$5000,$A237),2))</f>
        <v/>
      </c>
      <c r="F237" s="24">
        <f>IF($A237="","",ROUND($D237-$E237,2))</f>
        <v/>
      </c>
      <c r="G237" s="9">
        <f>IF($A237="","",IF(ABS($F237)&lt;=0.02,"OK","REVISAR"))</f>
        <v/>
      </c>
      <c r="H237" s="9" t="n"/>
      <c r="I237" s="9" t="n"/>
      <c r="J237" s="9" t="n"/>
      <c r="K237" s="9" t="n"/>
      <c r="L237" s="9" t="n"/>
      <c r="M237" s="9">
        <f>IF($A237="","",IF(COUNTIFS($B$2:$B$1000,$B237,$C$2:$C$1000,$C237,$D$2:$D$1000,$D237,$H$2:$H$1000,$H237)&gt;1,"DUPLICADO",""))</f>
        <v/>
      </c>
    </row>
    <row r="238">
      <c r="A238" s="9" t="n"/>
      <c r="B238" s="30" t="n"/>
      <c r="C238" s="9" t="n"/>
      <c r="D238" s="24" t="n"/>
      <c r="E238" s="24">
        <f>IF($A238="","",ROUND(SUMIFS(Compras!$L$2:$L$5000,Compras!$A$2:$A$5000,$A238),2))</f>
        <v/>
      </c>
      <c r="F238" s="24">
        <f>IF($A238="","",ROUND($D238-$E238,2))</f>
        <v/>
      </c>
      <c r="G238" s="9">
        <f>IF($A238="","",IF(ABS($F238)&lt;=0.02,"OK","REVISAR"))</f>
        <v/>
      </c>
      <c r="H238" s="9" t="n"/>
      <c r="I238" s="9" t="n"/>
      <c r="J238" s="9" t="n"/>
      <c r="K238" s="9" t="n"/>
      <c r="L238" s="9" t="n"/>
      <c r="M238" s="9">
        <f>IF($A238="","",IF(COUNTIFS($B$2:$B$1000,$B238,$C$2:$C$1000,$C238,$D$2:$D$1000,$D238,$H$2:$H$1000,$H238)&gt;1,"DUPLICADO",""))</f>
        <v/>
      </c>
    </row>
    <row r="239">
      <c r="A239" s="9" t="n"/>
      <c r="B239" s="30" t="n"/>
      <c r="C239" s="9" t="n"/>
      <c r="D239" s="24" t="n"/>
      <c r="E239" s="24">
        <f>IF($A239="","",ROUND(SUMIFS(Compras!$L$2:$L$5000,Compras!$A$2:$A$5000,$A239),2))</f>
        <v/>
      </c>
      <c r="F239" s="24">
        <f>IF($A239="","",ROUND($D239-$E239,2))</f>
        <v/>
      </c>
      <c r="G239" s="9">
        <f>IF($A239="","",IF(ABS($F239)&lt;=0.02,"OK","REVISAR"))</f>
        <v/>
      </c>
      <c r="H239" s="9" t="n"/>
      <c r="I239" s="9" t="n"/>
      <c r="J239" s="9" t="n"/>
      <c r="K239" s="9" t="n"/>
      <c r="L239" s="9" t="n"/>
      <c r="M239" s="9">
        <f>IF($A239="","",IF(COUNTIFS($B$2:$B$1000,$B239,$C$2:$C$1000,$C239,$D$2:$D$1000,$D239,$H$2:$H$1000,$H239)&gt;1,"DUPLICADO",""))</f>
        <v/>
      </c>
    </row>
    <row r="240">
      <c r="A240" s="9" t="n"/>
      <c r="B240" s="30" t="n"/>
      <c r="C240" s="9" t="n"/>
      <c r="D240" s="24" t="n"/>
      <c r="E240" s="24">
        <f>IF($A240="","",ROUND(SUMIFS(Compras!$L$2:$L$5000,Compras!$A$2:$A$5000,$A240),2))</f>
        <v/>
      </c>
      <c r="F240" s="24">
        <f>IF($A240="","",ROUND($D240-$E240,2))</f>
        <v/>
      </c>
      <c r="G240" s="9">
        <f>IF($A240="","",IF(ABS($F240)&lt;=0.02,"OK","REVISAR"))</f>
        <v/>
      </c>
      <c r="H240" s="9" t="n"/>
      <c r="I240" s="9" t="n"/>
      <c r="J240" s="9" t="n"/>
      <c r="K240" s="9" t="n"/>
      <c r="L240" s="9" t="n"/>
      <c r="M240" s="9">
        <f>IF($A240="","",IF(COUNTIFS($B$2:$B$1000,$B240,$C$2:$C$1000,$C240,$D$2:$D$1000,$D240,$H$2:$H$1000,$H240)&gt;1,"DUPLICADO",""))</f>
        <v/>
      </c>
    </row>
    <row r="241">
      <c r="A241" s="9" t="n"/>
      <c r="B241" s="30" t="n"/>
      <c r="C241" s="9" t="n"/>
      <c r="D241" s="24" t="n"/>
      <c r="E241" s="24">
        <f>IF($A241="","",ROUND(SUMIFS(Compras!$L$2:$L$5000,Compras!$A$2:$A$5000,$A241),2))</f>
        <v/>
      </c>
      <c r="F241" s="24">
        <f>IF($A241="","",ROUND($D241-$E241,2))</f>
        <v/>
      </c>
      <c r="G241" s="9">
        <f>IF($A241="","",IF(ABS($F241)&lt;=0.02,"OK","REVISAR"))</f>
        <v/>
      </c>
      <c r="H241" s="9" t="n"/>
      <c r="I241" s="9" t="n"/>
      <c r="J241" s="9" t="n"/>
      <c r="K241" s="9" t="n"/>
      <c r="L241" s="9" t="n"/>
      <c r="M241" s="9">
        <f>IF($A241="","",IF(COUNTIFS($B$2:$B$1000,$B241,$C$2:$C$1000,$C241,$D$2:$D$1000,$D241,$H$2:$H$1000,$H241)&gt;1,"DUPLICADO",""))</f>
        <v/>
      </c>
    </row>
    <row r="242">
      <c r="A242" s="9" t="n"/>
      <c r="B242" s="30" t="n"/>
      <c r="C242" s="9" t="n"/>
      <c r="D242" s="24" t="n"/>
      <c r="E242" s="24">
        <f>IF($A242="","",ROUND(SUMIFS(Compras!$L$2:$L$5000,Compras!$A$2:$A$5000,$A242),2))</f>
        <v/>
      </c>
      <c r="F242" s="24">
        <f>IF($A242="","",ROUND($D242-$E242,2))</f>
        <v/>
      </c>
      <c r="G242" s="9">
        <f>IF($A242="","",IF(ABS($F242)&lt;=0.02,"OK","REVISAR"))</f>
        <v/>
      </c>
      <c r="H242" s="9" t="n"/>
      <c r="I242" s="9" t="n"/>
      <c r="J242" s="9" t="n"/>
      <c r="K242" s="9" t="n"/>
      <c r="L242" s="9" t="n"/>
      <c r="M242" s="9">
        <f>IF($A242="","",IF(COUNTIFS($B$2:$B$1000,$B242,$C$2:$C$1000,$C242,$D$2:$D$1000,$D242,$H$2:$H$1000,$H242)&gt;1,"DUPLICADO",""))</f>
        <v/>
      </c>
    </row>
    <row r="243">
      <c r="A243" s="9" t="n"/>
      <c r="B243" s="30" t="n"/>
      <c r="C243" s="9" t="n"/>
      <c r="D243" s="24" t="n"/>
      <c r="E243" s="24">
        <f>IF($A243="","",ROUND(SUMIFS(Compras!$L$2:$L$5000,Compras!$A$2:$A$5000,$A243),2))</f>
        <v/>
      </c>
      <c r="F243" s="24">
        <f>IF($A243="","",ROUND($D243-$E243,2))</f>
        <v/>
      </c>
      <c r="G243" s="9">
        <f>IF($A243="","",IF(ABS($F243)&lt;=0.02,"OK","REVISAR"))</f>
        <v/>
      </c>
      <c r="H243" s="9" t="n"/>
      <c r="I243" s="9" t="n"/>
      <c r="J243" s="9" t="n"/>
      <c r="K243" s="9" t="n"/>
      <c r="L243" s="9" t="n"/>
      <c r="M243" s="9">
        <f>IF($A243="","",IF(COUNTIFS($B$2:$B$1000,$B243,$C$2:$C$1000,$C243,$D$2:$D$1000,$D243,$H$2:$H$1000,$H243)&gt;1,"DUPLICADO",""))</f>
        <v/>
      </c>
    </row>
    <row r="244">
      <c r="A244" s="9" t="n"/>
      <c r="B244" s="30" t="n"/>
      <c r="C244" s="9" t="n"/>
      <c r="D244" s="24" t="n"/>
      <c r="E244" s="24">
        <f>IF($A244="","",ROUND(SUMIFS(Compras!$L$2:$L$5000,Compras!$A$2:$A$5000,$A244),2))</f>
        <v/>
      </c>
      <c r="F244" s="24">
        <f>IF($A244="","",ROUND($D244-$E244,2))</f>
        <v/>
      </c>
      <c r="G244" s="9">
        <f>IF($A244="","",IF(ABS($F244)&lt;=0.02,"OK","REVISAR"))</f>
        <v/>
      </c>
      <c r="H244" s="9" t="n"/>
      <c r="I244" s="9" t="n"/>
      <c r="J244" s="9" t="n"/>
      <c r="K244" s="9" t="n"/>
      <c r="L244" s="9" t="n"/>
      <c r="M244" s="9">
        <f>IF($A244="","",IF(COUNTIFS($B$2:$B$1000,$B244,$C$2:$C$1000,$C244,$D$2:$D$1000,$D244,$H$2:$H$1000,$H244)&gt;1,"DUPLICADO",""))</f>
        <v/>
      </c>
    </row>
    <row r="245">
      <c r="A245" s="9" t="n"/>
      <c r="B245" s="30" t="n"/>
      <c r="C245" s="9" t="n"/>
      <c r="D245" s="24" t="n"/>
      <c r="E245" s="24">
        <f>IF($A245="","",ROUND(SUMIFS(Compras!$L$2:$L$5000,Compras!$A$2:$A$5000,$A245),2))</f>
        <v/>
      </c>
      <c r="F245" s="24">
        <f>IF($A245="","",ROUND($D245-$E245,2))</f>
        <v/>
      </c>
      <c r="G245" s="9">
        <f>IF($A245="","",IF(ABS($F245)&lt;=0.02,"OK","REVISAR"))</f>
        <v/>
      </c>
      <c r="H245" s="9" t="n"/>
      <c r="I245" s="9" t="n"/>
      <c r="J245" s="9" t="n"/>
      <c r="K245" s="9" t="n"/>
      <c r="L245" s="9" t="n"/>
      <c r="M245" s="9">
        <f>IF($A245="","",IF(COUNTIFS($B$2:$B$1000,$B245,$C$2:$C$1000,$C245,$D$2:$D$1000,$D245,$H$2:$H$1000,$H245)&gt;1,"DUPLICADO",""))</f>
        <v/>
      </c>
    </row>
    <row r="246">
      <c r="A246" s="9" t="n"/>
      <c r="B246" s="30" t="n"/>
      <c r="C246" s="9" t="n"/>
      <c r="D246" s="24" t="n"/>
      <c r="E246" s="24">
        <f>IF($A246="","",ROUND(SUMIFS(Compras!$L$2:$L$5000,Compras!$A$2:$A$5000,$A246),2))</f>
        <v/>
      </c>
      <c r="F246" s="24">
        <f>IF($A246="","",ROUND($D246-$E246,2))</f>
        <v/>
      </c>
      <c r="G246" s="9">
        <f>IF($A246="","",IF(ABS($F246)&lt;=0.02,"OK","REVISAR"))</f>
        <v/>
      </c>
      <c r="H246" s="9" t="n"/>
      <c r="I246" s="9" t="n"/>
      <c r="J246" s="9" t="n"/>
      <c r="K246" s="9" t="n"/>
      <c r="L246" s="9" t="n"/>
      <c r="M246" s="9">
        <f>IF($A246="","",IF(COUNTIFS($B$2:$B$1000,$B246,$C$2:$C$1000,$C246,$D$2:$D$1000,$D246,$H$2:$H$1000,$H246)&gt;1,"DUPLICADO",""))</f>
        <v/>
      </c>
    </row>
    <row r="247">
      <c r="A247" s="9" t="n"/>
      <c r="B247" s="30" t="n"/>
      <c r="C247" s="9" t="n"/>
      <c r="D247" s="24" t="n"/>
      <c r="E247" s="24">
        <f>IF($A247="","",ROUND(SUMIFS(Compras!$L$2:$L$5000,Compras!$A$2:$A$5000,$A247),2))</f>
        <v/>
      </c>
      <c r="F247" s="24">
        <f>IF($A247="","",ROUND($D247-$E247,2))</f>
        <v/>
      </c>
      <c r="G247" s="9">
        <f>IF($A247="","",IF(ABS($F247)&lt;=0.02,"OK","REVISAR"))</f>
        <v/>
      </c>
      <c r="H247" s="9" t="n"/>
      <c r="I247" s="9" t="n"/>
      <c r="J247" s="9" t="n"/>
      <c r="K247" s="9" t="n"/>
      <c r="L247" s="9" t="n"/>
      <c r="M247" s="9">
        <f>IF($A247="","",IF(COUNTIFS($B$2:$B$1000,$B247,$C$2:$C$1000,$C247,$D$2:$D$1000,$D247,$H$2:$H$1000,$H247)&gt;1,"DUPLICADO",""))</f>
        <v/>
      </c>
    </row>
    <row r="248">
      <c r="A248" s="9" t="n"/>
      <c r="B248" s="30" t="n"/>
      <c r="C248" s="9" t="n"/>
      <c r="D248" s="24" t="n"/>
      <c r="E248" s="24">
        <f>IF($A248="","",ROUND(SUMIFS(Compras!$L$2:$L$5000,Compras!$A$2:$A$5000,$A248),2))</f>
        <v/>
      </c>
      <c r="F248" s="24">
        <f>IF($A248="","",ROUND($D248-$E248,2))</f>
        <v/>
      </c>
      <c r="G248" s="9">
        <f>IF($A248="","",IF(ABS($F248)&lt;=0.02,"OK","REVISAR"))</f>
        <v/>
      </c>
      <c r="H248" s="9" t="n"/>
      <c r="I248" s="9" t="n"/>
      <c r="J248" s="9" t="n"/>
      <c r="K248" s="9" t="n"/>
      <c r="L248" s="9" t="n"/>
      <c r="M248" s="9">
        <f>IF($A248="","",IF(COUNTIFS($B$2:$B$1000,$B248,$C$2:$C$1000,$C248,$D$2:$D$1000,$D248,$H$2:$H$1000,$H248)&gt;1,"DUPLICADO",""))</f>
        <v/>
      </c>
    </row>
    <row r="249">
      <c r="A249" s="9" t="n"/>
      <c r="B249" s="30" t="n"/>
      <c r="C249" s="9" t="n"/>
      <c r="D249" s="24" t="n"/>
      <c r="E249" s="24">
        <f>IF($A249="","",ROUND(SUMIFS(Compras!$L$2:$L$5000,Compras!$A$2:$A$5000,$A249),2))</f>
        <v/>
      </c>
      <c r="F249" s="24">
        <f>IF($A249="","",ROUND($D249-$E249,2))</f>
        <v/>
      </c>
      <c r="G249" s="9">
        <f>IF($A249="","",IF(ABS($F249)&lt;=0.02,"OK","REVISAR"))</f>
        <v/>
      </c>
      <c r="H249" s="9" t="n"/>
      <c r="I249" s="9" t="n"/>
      <c r="J249" s="9" t="n"/>
      <c r="K249" s="9" t="n"/>
      <c r="L249" s="9" t="n"/>
      <c r="M249" s="9">
        <f>IF($A249="","",IF(COUNTIFS($B$2:$B$1000,$B249,$C$2:$C$1000,$C249,$D$2:$D$1000,$D249,$H$2:$H$1000,$H249)&gt;1,"DUPLICADO",""))</f>
        <v/>
      </c>
    </row>
    <row r="250">
      <c r="A250" s="9" t="n"/>
      <c r="B250" s="30" t="n"/>
      <c r="C250" s="9" t="n"/>
      <c r="D250" s="24" t="n"/>
      <c r="E250" s="24">
        <f>IF($A250="","",ROUND(SUMIFS(Compras!$L$2:$L$5000,Compras!$A$2:$A$5000,$A250),2))</f>
        <v/>
      </c>
      <c r="F250" s="24">
        <f>IF($A250="","",ROUND($D250-$E250,2))</f>
        <v/>
      </c>
      <c r="G250" s="9">
        <f>IF($A250="","",IF(ABS($F250)&lt;=0.02,"OK","REVISAR"))</f>
        <v/>
      </c>
      <c r="H250" s="9" t="n"/>
      <c r="I250" s="9" t="n"/>
      <c r="J250" s="9" t="n"/>
      <c r="K250" s="9" t="n"/>
      <c r="L250" s="9" t="n"/>
      <c r="M250" s="9">
        <f>IF($A250="","",IF(COUNTIFS($B$2:$B$1000,$B250,$C$2:$C$1000,$C250,$D$2:$D$1000,$D250,$H$2:$H$1000,$H250)&gt;1,"DUPLICADO",""))</f>
        <v/>
      </c>
    </row>
    <row r="251">
      <c r="A251" s="9" t="n"/>
      <c r="B251" s="30" t="n"/>
      <c r="C251" s="9" t="n"/>
      <c r="D251" s="24" t="n"/>
      <c r="E251" s="24">
        <f>IF($A251="","",ROUND(SUMIFS(Compras!$L$2:$L$5000,Compras!$A$2:$A$5000,$A251),2))</f>
        <v/>
      </c>
      <c r="F251" s="24">
        <f>IF($A251="","",ROUND($D251-$E251,2))</f>
        <v/>
      </c>
      <c r="G251" s="9">
        <f>IF($A251="","",IF(ABS($F251)&lt;=0.02,"OK","REVISAR"))</f>
        <v/>
      </c>
      <c r="H251" s="9" t="n"/>
      <c r="I251" s="9" t="n"/>
      <c r="J251" s="9" t="n"/>
      <c r="K251" s="9" t="n"/>
      <c r="L251" s="9" t="n"/>
      <c r="M251" s="9">
        <f>IF($A251="","",IF(COUNTIFS($B$2:$B$1000,$B251,$C$2:$C$1000,$C251,$D$2:$D$1000,$D251,$H$2:$H$1000,$H251)&gt;1,"DUPLICADO",""))</f>
        <v/>
      </c>
    </row>
    <row r="252">
      <c r="A252" s="9" t="n"/>
      <c r="B252" s="30" t="n"/>
      <c r="C252" s="9" t="n"/>
      <c r="D252" s="24" t="n"/>
      <c r="E252" s="24">
        <f>IF($A252="","",ROUND(SUMIFS(Compras!$L$2:$L$5000,Compras!$A$2:$A$5000,$A252),2))</f>
        <v/>
      </c>
      <c r="F252" s="24">
        <f>IF($A252="","",ROUND($D252-$E252,2))</f>
        <v/>
      </c>
      <c r="G252" s="9">
        <f>IF($A252="","",IF(ABS($F252)&lt;=0.02,"OK","REVISAR"))</f>
        <v/>
      </c>
      <c r="H252" s="9" t="n"/>
      <c r="I252" s="9" t="n"/>
      <c r="J252" s="9" t="n"/>
      <c r="K252" s="9" t="n"/>
      <c r="L252" s="9" t="n"/>
      <c r="M252" s="9">
        <f>IF($A252="","",IF(COUNTIFS($B$2:$B$1000,$B252,$C$2:$C$1000,$C252,$D$2:$D$1000,$D252,$H$2:$H$1000,$H252)&gt;1,"DUPLICADO",""))</f>
        <v/>
      </c>
    </row>
    <row r="253">
      <c r="A253" s="9" t="n"/>
      <c r="B253" s="30" t="n"/>
      <c r="C253" s="9" t="n"/>
      <c r="D253" s="24" t="n"/>
      <c r="E253" s="24">
        <f>IF($A253="","",ROUND(SUMIFS(Compras!$L$2:$L$5000,Compras!$A$2:$A$5000,$A253),2))</f>
        <v/>
      </c>
      <c r="F253" s="24">
        <f>IF($A253="","",ROUND($D253-$E253,2))</f>
        <v/>
      </c>
      <c r="G253" s="9">
        <f>IF($A253="","",IF(ABS($F253)&lt;=0.02,"OK","REVISAR"))</f>
        <v/>
      </c>
      <c r="H253" s="9" t="n"/>
      <c r="I253" s="9" t="n"/>
      <c r="J253" s="9" t="n"/>
      <c r="K253" s="9" t="n"/>
      <c r="L253" s="9" t="n"/>
      <c r="M253" s="9">
        <f>IF($A253="","",IF(COUNTIFS($B$2:$B$1000,$B253,$C$2:$C$1000,$C253,$D$2:$D$1000,$D253,$H$2:$H$1000,$H253)&gt;1,"DUPLICADO",""))</f>
        <v/>
      </c>
    </row>
    <row r="254">
      <c r="A254" s="9" t="n"/>
      <c r="B254" s="30" t="n"/>
      <c r="C254" s="9" t="n"/>
      <c r="D254" s="24" t="n"/>
      <c r="E254" s="24">
        <f>IF($A254="","",ROUND(SUMIFS(Compras!$L$2:$L$5000,Compras!$A$2:$A$5000,$A254),2))</f>
        <v/>
      </c>
      <c r="F254" s="24">
        <f>IF($A254="","",ROUND($D254-$E254,2))</f>
        <v/>
      </c>
      <c r="G254" s="9">
        <f>IF($A254="","",IF(ABS($F254)&lt;=0.02,"OK","REVISAR"))</f>
        <v/>
      </c>
      <c r="H254" s="9" t="n"/>
      <c r="I254" s="9" t="n"/>
      <c r="J254" s="9" t="n"/>
      <c r="K254" s="9" t="n"/>
      <c r="L254" s="9" t="n"/>
      <c r="M254" s="9">
        <f>IF($A254="","",IF(COUNTIFS($B$2:$B$1000,$B254,$C$2:$C$1000,$C254,$D$2:$D$1000,$D254,$H$2:$H$1000,$H254)&gt;1,"DUPLICADO",""))</f>
        <v/>
      </c>
    </row>
    <row r="255">
      <c r="A255" s="9" t="n"/>
      <c r="B255" s="30" t="n"/>
      <c r="C255" s="9" t="n"/>
      <c r="D255" s="24" t="n"/>
      <c r="E255" s="24">
        <f>IF($A255="","",ROUND(SUMIFS(Compras!$L$2:$L$5000,Compras!$A$2:$A$5000,$A255),2))</f>
        <v/>
      </c>
      <c r="F255" s="24">
        <f>IF($A255="","",ROUND($D255-$E255,2))</f>
        <v/>
      </c>
      <c r="G255" s="9">
        <f>IF($A255="","",IF(ABS($F255)&lt;=0.02,"OK","REVISAR"))</f>
        <v/>
      </c>
      <c r="H255" s="9" t="n"/>
      <c r="I255" s="9" t="n"/>
      <c r="J255" s="9" t="n"/>
      <c r="K255" s="9" t="n"/>
      <c r="L255" s="9" t="n"/>
      <c r="M255" s="9">
        <f>IF($A255="","",IF(COUNTIFS($B$2:$B$1000,$B255,$C$2:$C$1000,$C255,$D$2:$D$1000,$D255,$H$2:$H$1000,$H255)&gt;1,"DUPLICADO",""))</f>
        <v/>
      </c>
    </row>
    <row r="256">
      <c r="A256" s="9" t="n"/>
      <c r="B256" s="30" t="n"/>
      <c r="C256" s="9" t="n"/>
      <c r="D256" s="24" t="n"/>
      <c r="E256" s="24">
        <f>IF($A256="","",ROUND(SUMIFS(Compras!$L$2:$L$5000,Compras!$A$2:$A$5000,$A256),2))</f>
        <v/>
      </c>
      <c r="F256" s="24">
        <f>IF($A256="","",ROUND($D256-$E256,2))</f>
        <v/>
      </c>
      <c r="G256" s="9">
        <f>IF($A256="","",IF(ABS($F256)&lt;=0.02,"OK","REVISAR"))</f>
        <v/>
      </c>
      <c r="H256" s="9" t="n"/>
      <c r="I256" s="9" t="n"/>
      <c r="J256" s="9" t="n"/>
      <c r="K256" s="9" t="n"/>
      <c r="L256" s="9" t="n"/>
      <c r="M256" s="9">
        <f>IF($A256="","",IF(COUNTIFS($B$2:$B$1000,$B256,$C$2:$C$1000,$C256,$D$2:$D$1000,$D256,$H$2:$H$1000,$H256)&gt;1,"DUPLICADO",""))</f>
        <v/>
      </c>
    </row>
    <row r="257">
      <c r="A257" s="9" t="n"/>
      <c r="B257" s="30" t="n"/>
      <c r="C257" s="9" t="n"/>
      <c r="D257" s="24" t="n"/>
      <c r="E257" s="24">
        <f>IF($A257="","",ROUND(SUMIFS(Compras!$L$2:$L$5000,Compras!$A$2:$A$5000,$A257),2))</f>
        <v/>
      </c>
      <c r="F257" s="24">
        <f>IF($A257="","",ROUND($D257-$E257,2))</f>
        <v/>
      </c>
      <c r="G257" s="9">
        <f>IF($A257="","",IF(ABS($F257)&lt;=0.02,"OK","REVISAR"))</f>
        <v/>
      </c>
      <c r="H257" s="9" t="n"/>
      <c r="I257" s="9" t="n"/>
      <c r="J257" s="9" t="n"/>
      <c r="K257" s="9" t="n"/>
      <c r="L257" s="9" t="n"/>
      <c r="M257" s="9">
        <f>IF($A257="","",IF(COUNTIFS($B$2:$B$1000,$B257,$C$2:$C$1000,$C257,$D$2:$D$1000,$D257,$H$2:$H$1000,$H257)&gt;1,"DUPLICADO",""))</f>
        <v/>
      </c>
    </row>
    <row r="258">
      <c r="A258" s="9" t="n"/>
      <c r="B258" s="30" t="n"/>
      <c r="C258" s="9" t="n"/>
      <c r="D258" s="24" t="n"/>
      <c r="E258" s="24">
        <f>IF($A258="","",ROUND(SUMIFS(Compras!$L$2:$L$5000,Compras!$A$2:$A$5000,$A258),2))</f>
        <v/>
      </c>
      <c r="F258" s="24">
        <f>IF($A258="","",ROUND($D258-$E258,2))</f>
        <v/>
      </c>
      <c r="G258" s="9">
        <f>IF($A258="","",IF(ABS($F258)&lt;=0.02,"OK","REVISAR"))</f>
        <v/>
      </c>
      <c r="H258" s="9" t="n"/>
      <c r="I258" s="9" t="n"/>
      <c r="J258" s="9" t="n"/>
      <c r="K258" s="9" t="n"/>
      <c r="L258" s="9" t="n"/>
      <c r="M258" s="9">
        <f>IF($A258="","",IF(COUNTIFS($B$2:$B$1000,$B258,$C$2:$C$1000,$C258,$D$2:$D$1000,$D258,$H$2:$H$1000,$H258)&gt;1,"DUPLICADO",""))</f>
        <v/>
      </c>
    </row>
    <row r="259">
      <c r="A259" s="9" t="n"/>
      <c r="B259" s="30" t="n"/>
      <c r="C259" s="9" t="n"/>
      <c r="D259" s="24" t="n"/>
      <c r="E259" s="24">
        <f>IF($A259="","",ROUND(SUMIFS(Compras!$L$2:$L$5000,Compras!$A$2:$A$5000,$A259),2))</f>
        <v/>
      </c>
      <c r="F259" s="24">
        <f>IF($A259="","",ROUND($D259-$E259,2))</f>
        <v/>
      </c>
      <c r="G259" s="9">
        <f>IF($A259="","",IF(ABS($F259)&lt;=0.02,"OK","REVISAR"))</f>
        <v/>
      </c>
      <c r="H259" s="9" t="n"/>
      <c r="I259" s="9" t="n"/>
      <c r="J259" s="9" t="n"/>
      <c r="K259" s="9" t="n"/>
      <c r="L259" s="9" t="n"/>
      <c r="M259" s="9">
        <f>IF($A259="","",IF(COUNTIFS($B$2:$B$1000,$B259,$C$2:$C$1000,$C259,$D$2:$D$1000,$D259,$H$2:$H$1000,$H259)&gt;1,"DUPLICADO",""))</f>
        <v/>
      </c>
    </row>
    <row r="260">
      <c r="A260" s="9" t="n"/>
      <c r="B260" s="30" t="n"/>
      <c r="C260" s="9" t="n"/>
      <c r="D260" s="24" t="n"/>
      <c r="E260" s="24">
        <f>IF($A260="","",ROUND(SUMIFS(Compras!$L$2:$L$5000,Compras!$A$2:$A$5000,$A260),2))</f>
        <v/>
      </c>
      <c r="F260" s="24">
        <f>IF($A260="","",ROUND($D260-$E260,2))</f>
        <v/>
      </c>
      <c r="G260" s="9">
        <f>IF($A260="","",IF(ABS($F260)&lt;=0.02,"OK","REVISAR"))</f>
        <v/>
      </c>
      <c r="H260" s="9" t="n"/>
      <c r="I260" s="9" t="n"/>
      <c r="J260" s="9" t="n"/>
      <c r="K260" s="9" t="n"/>
      <c r="L260" s="9" t="n"/>
      <c r="M260" s="9">
        <f>IF($A260="","",IF(COUNTIFS($B$2:$B$1000,$B260,$C$2:$C$1000,$C260,$D$2:$D$1000,$D260,$H$2:$H$1000,$H260)&gt;1,"DUPLICADO",""))</f>
        <v/>
      </c>
    </row>
    <row r="261">
      <c r="A261" s="9" t="n"/>
      <c r="B261" s="30" t="n"/>
      <c r="C261" s="9" t="n"/>
      <c r="D261" s="24" t="n"/>
      <c r="E261" s="24">
        <f>IF($A261="","",ROUND(SUMIFS(Compras!$L$2:$L$5000,Compras!$A$2:$A$5000,$A261),2))</f>
        <v/>
      </c>
      <c r="F261" s="24">
        <f>IF($A261="","",ROUND($D261-$E261,2))</f>
        <v/>
      </c>
      <c r="G261" s="9">
        <f>IF($A261="","",IF(ABS($F261)&lt;=0.02,"OK","REVISAR"))</f>
        <v/>
      </c>
      <c r="H261" s="9" t="n"/>
      <c r="I261" s="9" t="n"/>
      <c r="J261" s="9" t="n"/>
      <c r="K261" s="9" t="n"/>
      <c r="L261" s="9" t="n"/>
      <c r="M261" s="9">
        <f>IF($A261="","",IF(COUNTIFS($B$2:$B$1000,$B261,$C$2:$C$1000,$C261,$D$2:$D$1000,$D261,$H$2:$H$1000,$H261)&gt;1,"DUPLICADO",""))</f>
        <v/>
      </c>
    </row>
    <row r="262">
      <c r="A262" s="9" t="n"/>
      <c r="B262" s="30" t="n"/>
      <c r="C262" s="9" t="n"/>
      <c r="D262" s="24" t="n"/>
      <c r="E262" s="24">
        <f>IF($A262="","",ROUND(SUMIFS(Compras!$L$2:$L$5000,Compras!$A$2:$A$5000,$A262),2))</f>
        <v/>
      </c>
      <c r="F262" s="24">
        <f>IF($A262="","",ROUND($D262-$E262,2))</f>
        <v/>
      </c>
      <c r="G262" s="9">
        <f>IF($A262="","",IF(ABS($F262)&lt;=0.02,"OK","REVISAR"))</f>
        <v/>
      </c>
      <c r="H262" s="9" t="n"/>
      <c r="I262" s="9" t="n"/>
      <c r="J262" s="9" t="n"/>
      <c r="K262" s="9" t="n"/>
      <c r="L262" s="9" t="n"/>
      <c r="M262" s="9">
        <f>IF($A262="","",IF(COUNTIFS($B$2:$B$1000,$B262,$C$2:$C$1000,$C262,$D$2:$D$1000,$D262,$H$2:$H$1000,$H262)&gt;1,"DUPLICADO",""))</f>
        <v/>
      </c>
    </row>
    <row r="263">
      <c r="A263" s="9" t="n"/>
      <c r="B263" s="30" t="n"/>
      <c r="C263" s="9" t="n"/>
      <c r="D263" s="24" t="n"/>
      <c r="E263" s="24">
        <f>IF($A263="","",ROUND(SUMIFS(Compras!$L$2:$L$5000,Compras!$A$2:$A$5000,$A263),2))</f>
        <v/>
      </c>
      <c r="F263" s="24">
        <f>IF($A263="","",ROUND($D263-$E263,2))</f>
        <v/>
      </c>
      <c r="G263" s="9">
        <f>IF($A263="","",IF(ABS($F263)&lt;=0.02,"OK","REVISAR"))</f>
        <v/>
      </c>
      <c r="H263" s="9" t="n"/>
      <c r="I263" s="9" t="n"/>
      <c r="J263" s="9" t="n"/>
      <c r="K263" s="9" t="n"/>
      <c r="L263" s="9" t="n"/>
      <c r="M263" s="9">
        <f>IF($A263="","",IF(COUNTIFS($B$2:$B$1000,$B263,$C$2:$C$1000,$C263,$D$2:$D$1000,$D263,$H$2:$H$1000,$H263)&gt;1,"DUPLICADO",""))</f>
        <v/>
      </c>
    </row>
    <row r="264">
      <c r="A264" s="9" t="n"/>
      <c r="B264" s="30" t="n"/>
      <c r="C264" s="9" t="n"/>
      <c r="D264" s="24" t="n"/>
      <c r="E264" s="24">
        <f>IF($A264="","",ROUND(SUMIFS(Compras!$L$2:$L$5000,Compras!$A$2:$A$5000,$A264),2))</f>
        <v/>
      </c>
      <c r="F264" s="24">
        <f>IF($A264="","",ROUND($D264-$E264,2))</f>
        <v/>
      </c>
      <c r="G264" s="9">
        <f>IF($A264="","",IF(ABS($F264)&lt;=0.02,"OK","REVISAR"))</f>
        <v/>
      </c>
      <c r="H264" s="9" t="n"/>
      <c r="I264" s="9" t="n"/>
      <c r="J264" s="9" t="n"/>
      <c r="K264" s="9" t="n"/>
      <c r="L264" s="9" t="n"/>
      <c r="M264" s="9">
        <f>IF($A264="","",IF(COUNTIFS($B$2:$B$1000,$B264,$C$2:$C$1000,$C264,$D$2:$D$1000,$D264,$H$2:$H$1000,$H264)&gt;1,"DUPLICADO",""))</f>
        <v/>
      </c>
    </row>
    <row r="265">
      <c r="A265" s="9" t="n"/>
      <c r="B265" s="30" t="n"/>
      <c r="C265" s="9" t="n"/>
      <c r="D265" s="24" t="n"/>
      <c r="E265" s="24">
        <f>IF($A265="","",ROUND(SUMIFS(Compras!$L$2:$L$5000,Compras!$A$2:$A$5000,$A265),2))</f>
        <v/>
      </c>
      <c r="F265" s="24">
        <f>IF($A265="","",ROUND($D265-$E265,2))</f>
        <v/>
      </c>
      <c r="G265" s="9">
        <f>IF($A265="","",IF(ABS($F265)&lt;=0.02,"OK","REVISAR"))</f>
        <v/>
      </c>
      <c r="H265" s="9" t="n"/>
      <c r="I265" s="9" t="n"/>
      <c r="J265" s="9" t="n"/>
      <c r="K265" s="9" t="n"/>
      <c r="L265" s="9" t="n"/>
      <c r="M265" s="9">
        <f>IF($A265="","",IF(COUNTIFS($B$2:$B$1000,$B265,$C$2:$C$1000,$C265,$D$2:$D$1000,$D265,$H$2:$H$1000,$H265)&gt;1,"DUPLICADO",""))</f>
        <v/>
      </c>
    </row>
    <row r="266">
      <c r="A266" s="9" t="n"/>
      <c r="B266" s="30" t="n"/>
      <c r="C266" s="9" t="n"/>
      <c r="D266" s="24" t="n"/>
      <c r="E266" s="24">
        <f>IF($A266="","",ROUND(SUMIFS(Compras!$L$2:$L$5000,Compras!$A$2:$A$5000,$A266),2))</f>
        <v/>
      </c>
      <c r="F266" s="24">
        <f>IF($A266="","",ROUND($D266-$E266,2))</f>
        <v/>
      </c>
      <c r="G266" s="9">
        <f>IF($A266="","",IF(ABS($F266)&lt;=0.02,"OK","REVISAR"))</f>
        <v/>
      </c>
      <c r="H266" s="9" t="n"/>
      <c r="I266" s="9" t="n"/>
      <c r="J266" s="9" t="n"/>
      <c r="K266" s="9" t="n"/>
      <c r="L266" s="9" t="n"/>
      <c r="M266" s="9">
        <f>IF($A266="","",IF(COUNTIFS($B$2:$B$1000,$B266,$C$2:$C$1000,$C266,$D$2:$D$1000,$D266,$H$2:$H$1000,$H266)&gt;1,"DUPLICADO",""))</f>
        <v/>
      </c>
    </row>
    <row r="267">
      <c r="A267" s="9" t="n"/>
      <c r="B267" s="30" t="n"/>
      <c r="C267" s="9" t="n"/>
      <c r="D267" s="24" t="n"/>
      <c r="E267" s="24">
        <f>IF($A267="","",ROUND(SUMIFS(Compras!$L$2:$L$5000,Compras!$A$2:$A$5000,$A267),2))</f>
        <v/>
      </c>
      <c r="F267" s="24">
        <f>IF($A267="","",ROUND($D267-$E267,2))</f>
        <v/>
      </c>
      <c r="G267" s="9">
        <f>IF($A267="","",IF(ABS($F267)&lt;=0.02,"OK","REVISAR"))</f>
        <v/>
      </c>
      <c r="H267" s="9" t="n"/>
      <c r="I267" s="9" t="n"/>
      <c r="J267" s="9" t="n"/>
      <c r="K267" s="9" t="n"/>
      <c r="L267" s="9" t="n"/>
      <c r="M267" s="9">
        <f>IF($A267="","",IF(COUNTIFS($B$2:$B$1000,$B267,$C$2:$C$1000,$C267,$D$2:$D$1000,$D267,$H$2:$H$1000,$H267)&gt;1,"DUPLICADO",""))</f>
        <v/>
      </c>
    </row>
    <row r="268">
      <c r="A268" s="9" t="n"/>
      <c r="B268" s="30" t="n"/>
      <c r="C268" s="9" t="n"/>
      <c r="D268" s="24" t="n"/>
      <c r="E268" s="24">
        <f>IF($A268="","",ROUND(SUMIFS(Compras!$L$2:$L$5000,Compras!$A$2:$A$5000,$A268),2))</f>
        <v/>
      </c>
      <c r="F268" s="24">
        <f>IF($A268="","",ROUND($D268-$E268,2))</f>
        <v/>
      </c>
      <c r="G268" s="9">
        <f>IF($A268="","",IF(ABS($F268)&lt;=0.02,"OK","REVISAR"))</f>
        <v/>
      </c>
      <c r="H268" s="9" t="n"/>
      <c r="I268" s="9" t="n"/>
      <c r="J268" s="9" t="n"/>
      <c r="K268" s="9" t="n"/>
      <c r="L268" s="9" t="n"/>
      <c r="M268" s="9">
        <f>IF($A268="","",IF(COUNTIFS($B$2:$B$1000,$B268,$C$2:$C$1000,$C268,$D$2:$D$1000,$D268,$H$2:$H$1000,$H268)&gt;1,"DUPLICADO",""))</f>
        <v/>
      </c>
    </row>
    <row r="269">
      <c r="A269" s="9" t="n"/>
      <c r="B269" s="30" t="n"/>
      <c r="C269" s="9" t="n"/>
      <c r="D269" s="24" t="n"/>
      <c r="E269" s="24">
        <f>IF($A269="","",ROUND(SUMIFS(Compras!$L$2:$L$5000,Compras!$A$2:$A$5000,$A269),2))</f>
        <v/>
      </c>
      <c r="F269" s="24">
        <f>IF($A269="","",ROUND($D269-$E269,2))</f>
        <v/>
      </c>
      <c r="G269" s="9">
        <f>IF($A269="","",IF(ABS($F269)&lt;=0.02,"OK","REVISAR"))</f>
        <v/>
      </c>
      <c r="H269" s="9" t="n"/>
      <c r="I269" s="9" t="n"/>
      <c r="J269" s="9" t="n"/>
      <c r="K269" s="9" t="n"/>
      <c r="L269" s="9" t="n"/>
      <c r="M269" s="9">
        <f>IF($A269="","",IF(COUNTIFS($B$2:$B$1000,$B269,$C$2:$C$1000,$C269,$D$2:$D$1000,$D269,$H$2:$H$1000,$H269)&gt;1,"DUPLICADO",""))</f>
        <v/>
      </c>
    </row>
    <row r="270">
      <c r="A270" s="9" t="n"/>
      <c r="B270" s="30" t="n"/>
      <c r="C270" s="9" t="n"/>
      <c r="D270" s="24" t="n"/>
      <c r="E270" s="24">
        <f>IF($A270="","",ROUND(SUMIFS(Compras!$L$2:$L$5000,Compras!$A$2:$A$5000,$A270),2))</f>
        <v/>
      </c>
      <c r="F270" s="24">
        <f>IF($A270="","",ROUND($D270-$E270,2))</f>
        <v/>
      </c>
      <c r="G270" s="9">
        <f>IF($A270="","",IF(ABS($F270)&lt;=0.02,"OK","REVISAR"))</f>
        <v/>
      </c>
      <c r="H270" s="9" t="n"/>
      <c r="I270" s="9" t="n"/>
      <c r="J270" s="9" t="n"/>
      <c r="K270" s="9" t="n"/>
      <c r="L270" s="9" t="n"/>
      <c r="M270" s="9">
        <f>IF($A270="","",IF(COUNTIFS($B$2:$B$1000,$B270,$C$2:$C$1000,$C270,$D$2:$D$1000,$D270,$H$2:$H$1000,$H270)&gt;1,"DUPLICADO",""))</f>
        <v/>
      </c>
    </row>
    <row r="271">
      <c r="A271" s="9" t="n"/>
      <c r="B271" s="30" t="n"/>
      <c r="C271" s="9" t="n"/>
      <c r="D271" s="24" t="n"/>
      <c r="E271" s="24">
        <f>IF($A271="","",ROUND(SUMIFS(Compras!$L$2:$L$5000,Compras!$A$2:$A$5000,$A271),2))</f>
        <v/>
      </c>
      <c r="F271" s="24">
        <f>IF($A271="","",ROUND($D271-$E271,2))</f>
        <v/>
      </c>
      <c r="G271" s="9">
        <f>IF($A271="","",IF(ABS($F271)&lt;=0.02,"OK","REVISAR"))</f>
        <v/>
      </c>
      <c r="H271" s="9" t="n"/>
      <c r="I271" s="9" t="n"/>
      <c r="J271" s="9" t="n"/>
      <c r="K271" s="9" t="n"/>
      <c r="L271" s="9" t="n"/>
      <c r="M271" s="9">
        <f>IF($A271="","",IF(COUNTIFS($B$2:$B$1000,$B271,$C$2:$C$1000,$C271,$D$2:$D$1000,$D271,$H$2:$H$1000,$H271)&gt;1,"DUPLICADO",""))</f>
        <v/>
      </c>
    </row>
    <row r="272">
      <c r="A272" s="9" t="n"/>
      <c r="B272" s="30" t="n"/>
      <c r="C272" s="9" t="n"/>
      <c r="D272" s="24" t="n"/>
      <c r="E272" s="24">
        <f>IF($A272="","",ROUND(SUMIFS(Compras!$L$2:$L$5000,Compras!$A$2:$A$5000,$A272),2))</f>
        <v/>
      </c>
      <c r="F272" s="24">
        <f>IF($A272="","",ROUND($D272-$E272,2))</f>
        <v/>
      </c>
      <c r="G272" s="9">
        <f>IF($A272="","",IF(ABS($F272)&lt;=0.02,"OK","REVISAR"))</f>
        <v/>
      </c>
      <c r="H272" s="9" t="n"/>
      <c r="I272" s="9" t="n"/>
      <c r="J272" s="9" t="n"/>
      <c r="K272" s="9" t="n"/>
      <c r="L272" s="9" t="n"/>
      <c r="M272" s="9">
        <f>IF($A272="","",IF(COUNTIFS($B$2:$B$1000,$B272,$C$2:$C$1000,$C272,$D$2:$D$1000,$D272,$H$2:$H$1000,$H272)&gt;1,"DUPLICADO",""))</f>
        <v/>
      </c>
    </row>
    <row r="273">
      <c r="A273" s="9" t="n"/>
      <c r="B273" s="30" t="n"/>
      <c r="C273" s="9" t="n"/>
      <c r="D273" s="24" t="n"/>
      <c r="E273" s="24">
        <f>IF($A273="","",ROUND(SUMIFS(Compras!$L$2:$L$5000,Compras!$A$2:$A$5000,$A273),2))</f>
        <v/>
      </c>
      <c r="F273" s="24">
        <f>IF($A273="","",ROUND($D273-$E273,2))</f>
        <v/>
      </c>
      <c r="G273" s="9">
        <f>IF($A273="","",IF(ABS($F273)&lt;=0.02,"OK","REVISAR"))</f>
        <v/>
      </c>
      <c r="H273" s="9" t="n"/>
      <c r="I273" s="9" t="n"/>
      <c r="J273" s="9" t="n"/>
      <c r="K273" s="9" t="n"/>
      <c r="L273" s="9" t="n"/>
      <c r="M273" s="9">
        <f>IF($A273="","",IF(COUNTIFS($B$2:$B$1000,$B273,$C$2:$C$1000,$C273,$D$2:$D$1000,$D273,$H$2:$H$1000,$H273)&gt;1,"DUPLICADO",""))</f>
        <v/>
      </c>
    </row>
    <row r="274">
      <c r="A274" s="9" t="n"/>
      <c r="B274" s="30" t="n"/>
      <c r="C274" s="9" t="n"/>
      <c r="D274" s="24" t="n"/>
      <c r="E274" s="24">
        <f>IF($A274="","",ROUND(SUMIFS(Compras!$L$2:$L$5000,Compras!$A$2:$A$5000,$A274),2))</f>
        <v/>
      </c>
      <c r="F274" s="24">
        <f>IF($A274="","",ROUND($D274-$E274,2))</f>
        <v/>
      </c>
      <c r="G274" s="9">
        <f>IF($A274="","",IF(ABS($F274)&lt;=0.02,"OK","REVISAR"))</f>
        <v/>
      </c>
      <c r="H274" s="9" t="n"/>
      <c r="I274" s="9" t="n"/>
      <c r="J274" s="9" t="n"/>
      <c r="K274" s="9" t="n"/>
      <c r="L274" s="9" t="n"/>
      <c r="M274" s="9">
        <f>IF($A274="","",IF(COUNTIFS($B$2:$B$1000,$B274,$C$2:$C$1000,$C274,$D$2:$D$1000,$D274,$H$2:$H$1000,$H274)&gt;1,"DUPLICADO",""))</f>
        <v/>
      </c>
    </row>
    <row r="275">
      <c r="A275" s="9" t="n"/>
      <c r="B275" s="30" t="n"/>
      <c r="C275" s="9" t="n"/>
      <c r="D275" s="24" t="n"/>
      <c r="E275" s="24">
        <f>IF($A275="","",ROUND(SUMIFS(Compras!$L$2:$L$5000,Compras!$A$2:$A$5000,$A275),2))</f>
        <v/>
      </c>
      <c r="F275" s="24">
        <f>IF($A275="","",ROUND($D275-$E275,2))</f>
        <v/>
      </c>
      <c r="G275" s="9">
        <f>IF($A275="","",IF(ABS($F275)&lt;=0.02,"OK","REVISAR"))</f>
        <v/>
      </c>
      <c r="H275" s="9" t="n"/>
      <c r="I275" s="9" t="n"/>
      <c r="J275" s="9" t="n"/>
      <c r="K275" s="9" t="n"/>
      <c r="L275" s="9" t="n"/>
      <c r="M275" s="9">
        <f>IF($A275="","",IF(COUNTIFS($B$2:$B$1000,$B275,$C$2:$C$1000,$C275,$D$2:$D$1000,$D275,$H$2:$H$1000,$H275)&gt;1,"DUPLICADO",""))</f>
        <v/>
      </c>
    </row>
    <row r="276">
      <c r="A276" s="9" t="n"/>
      <c r="B276" s="30" t="n"/>
      <c r="C276" s="9" t="n"/>
      <c r="D276" s="24" t="n"/>
      <c r="E276" s="24">
        <f>IF($A276="","",ROUND(SUMIFS(Compras!$L$2:$L$5000,Compras!$A$2:$A$5000,$A276),2))</f>
        <v/>
      </c>
      <c r="F276" s="24">
        <f>IF($A276="","",ROUND($D276-$E276,2))</f>
        <v/>
      </c>
      <c r="G276" s="9">
        <f>IF($A276="","",IF(ABS($F276)&lt;=0.02,"OK","REVISAR"))</f>
        <v/>
      </c>
      <c r="H276" s="9" t="n"/>
      <c r="I276" s="9" t="n"/>
      <c r="J276" s="9" t="n"/>
      <c r="K276" s="9" t="n"/>
      <c r="L276" s="9" t="n"/>
      <c r="M276" s="9">
        <f>IF($A276="","",IF(COUNTIFS($B$2:$B$1000,$B276,$C$2:$C$1000,$C276,$D$2:$D$1000,$D276,$H$2:$H$1000,$H276)&gt;1,"DUPLICADO",""))</f>
        <v/>
      </c>
    </row>
    <row r="277">
      <c r="A277" s="9" t="n"/>
      <c r="B277" s="30" t="n"/>
      <c r="C277" s="9" t="n"/>
      <c r="D277" s="24" t="n"/>
      <c r="E277" s="24">
        <f>IF($A277="","",ROUND(SUMIFS(Compras!$L$2:$L$5000,Compras!$A$2:$A$5000,$A277),2))</f>
        <v/>
      </c>
      <c r="F277" s="24">
        <f>IF($A277="","",ROUND($D277-$E277,2))</f>
        <v/>
      </c>
      <c r="G277" s="9">
        <f>IF($A277="","",IF(ABS($F277)&lt;=0.02,"OK","REVISAR"))</f>
        <v/>
      </c>
      <c r="H277" s="9" t="n"/>
      <c r="I277" s="9" t="n"/>
      <c r="J277" s="9" t="n"/>
      <c r="K277" s="9" t="n"/>
      <c r="L277" s="9" t="n"/>
      <c r="M277" s="9">
        <f>IF($A277="","",IF(COUNTIFS($B$2:$B$1000,$B277,$C$2:$C$1000,$C277,$D$2:$D$1000,$D277,$H$2:$H$1000,$H277)&gt;1,"DUPLICADO",""))</f>
        <v/>
      </c>
    </row>
    <row r="278">
      <c r="A278" s="9" t="n"/>
      <c r="B278" s="30" t="n"/>
      <c r="C278" s="9" t="n"/>
      <c r="D278" s="24" t="n"/>
      <c r="E278" s="24">
        <f>IF($A278="","",ROUND(SUMIFS(Compras!$L$2:$L$5000,Compras!$A$2:$A$5000,$A278),2))</f>
        <v/>
      </c>
      <c r="F278" s="24">
        <f>IF($A278="","",ROUND($D278-$E278,2))</f>
        <v/>
      </c>
      <c r="G278" s="9">
        <f>IF($A278="","",IF(ABS($F278)&lt;=0.02,"OK","REVISAR"))</f>
        <v/>
      </c>
      <c r="H278" s="9" t="n"/>
      <c r="I278" s="9" t="n"/>
      <c r="J278" s="9" t="n"/>
      <c r="K278" s="9" t="n"/>
      <c r="L278" s="9" t="n"/>
      <c r="M278" s="9">
        <f>IF($A278="","",IF(COUNTIFS($B$2:$B$1000,$B278,$C$2:$C$1000,$C278,$D$2:$D$1000,$D278,$H$2:$H$1000,$H278)&gt;1,"DUPLICADO",""))</f>
        <v/>
      </c>
    </row>
    <row r="279">
      <c r="A279" s="9" t="n"/>
      <c r="B279" s="30" t="n"/>
      <c r="C279" s="9" t="n"/>
      <c r="D279" s="24" t="n"/>
      <c r="E279" s="24">
        <f>IF($A279="","",ROUND(SUMIFS(Compras!$L$2:$L$5000,Compras!$A$2:$A$5000,$A279),2))</f>
        <v/>
      </c>
      <c r="F279" s="24">
        <f>IF($A279="","",ROUND($D279-$E279,2))</f>
        <v/>
      </c>
      <c r="G279" s="9">
        <f>IF($A279="","",IF(ABS($F279)&lt;=0.02,"OK","REVISAR"))</f>
        <v/>
      </c>
      <c r="H279" s="9" t="n"/>
      <c r="I279" s="9" t="n"/>
      <c r="J279" s="9" t="n"/>
      <c r="K279" s="9" t="n"/>
      <c r="L279" s="9" t="n"/>
      <c r="M279" s="9">
        <f>IF($A279="","",IF(COUNTIFS($B$2:$B$1000,$B279,$C$2:$C$1000,$C279,$D$2:$D$1000,$D279,$H$2:$H$1000,$H279)&gt;1,"DUPLICADO",""))</f>
        <v/>
      </c>
    </row>
    <row r="280">
      <c r="A280" s="9" t="n"/>
      <c r="B280" s="30" t="n"/>
      <c r="C280" s="9" t="n"/>
      <c r="D280" s="24" t="n"/>
      <c r="E280" s="24">
        <f>IF($A280="","",ROUND(SUMIFS(Compras!$L$2:$L$5000,Compras!$A$2:$A$5000,$A280),2))</f>
        <v/>
      </c>
      <c r="F280" s="24">
        <f>IF($A280="","",ROUND($D280-$E280,2))</f>
        <v/>
      </c>
      <c r="G280" s="9">
        <f>IF($A280="","",IF(ABS($F280)&lt;=0.02,"OK","REVISAR"))</f>
        <v/>
      </c>
      <c r="H280" s="9" t="n"/>
      <c r="I280" s="9" t="n"/>
      <c r="J280" s="9" t="n"/>
      <c r="K280" s="9" t="n"/>
      <c r="L280" s="9" t="n"/>
      <c r="M280" s="9">
        <f>IF($A280="","",IF(COUNTIFS($B$2:$B$1000,$B280,$C$2:$C$1000,$C280,$D$2:$D$1000,$D280,$H$2:$H$1000,$H280)&gt;1,"DUPLICADO",""))</f>
        <v/>
      </c>
    </row>
    <row r="281">
      <c r="A281" s="9" t="n"/>
      <c r="B281" s="30" t="n"/>
      <c r="C281" s="9" t="n"/>
      <c r="D281" s="24" t="n"/>
      <c r="E281" s="24">
        <f>IF($A281="","",ROUND(SUMIFS(Compras!$L$2:$L$5000,Compras!$A$2:$A$5000,$A281),2))</f>
        <v/>
      </c>
      <c r="F281" s="24">
        <f>IF($A281="","",ROUND($D281-$E281,2))</f>
        <v/>
      </c>
      <c r="G281" s="9">
        <f>IF($A281="","",IF(ABS($F281)&lt;=0.02,"OK","REVISAR"))</f>
        <v/>
      </c>
      <c r="H281" s="9" t="n"/>
      <c r="I281" s="9" t="n"/>
      <c r="J281" s="9" t="n"/>
      <c r="K281" s="9" t="n"/>
      <c r="L281" s="9" t="n"/>
      <c r="M281" s="9">
        <f>IF($A281="","",IF(COUNTIFS($B$2:$B$1000,$B281,$C$2:$C$1000,$C281,$D$2:$D$1000,$D281,$H$2:$H$1000,$H281)&gt;1,"DUPLICADO",""))</f>
        <v/>
      </c>
    </row>
    <row r="282">
      <c r="A282" s="9" t="n"/>
      <c r="B282" s="30" t="n"/>
      <c r="C282" s="9" t="n"/>
      <c r="D282" s="24" t="n"/>
      <c r="E282" s="24">
        <f>IF($A282="","",ROUND(SUMIFS(Compras!$L$2:$L$5000,Compras!$A$2:$A$5000,$A282),2))</f>
        <v/>
      </c>
      <c r="F282" s="24">
        <f>IF($A282="","",ROUND($D282-$E282,2))</f>
        <v/>
      </c>
      <c r="G282" s="9">
        <f>IF($A282="","",IF(ABS($F282)&lt;=0.02,"OK","REVISAR"))</f>
        <v/>
      </c>
      <c r="H282" s="9" t="n"/>
      <c r="I282" s="9" t="n"/>
      <c r="J282" s="9" t="n"/>
      <c r="K282" s="9" t="n"/>
      <c r="L282" s="9" t="n"/>
      <c r="M282" s="9">
        <f>IF($A282="","",IF(COUNTIFS($B$2:$B$1000,$B282,$C$2:$C$1000,$C282,$D$2:$D$1000,$D282,$H$2:$H$1000,$H282)&gt;1,"DUPLICADO",""))</f>
        <v/>
      </c>
    </row>
    <row r="283">
      <c r="A283" s="9" t="n"/>
      <c r="B283" s="30" t="n"/>
      <c r="C283" s="9" t="n"/>
      <c r="D283" s="24" t="n"/>
      <c r="E283" s="24">
        <f>IF($A283="","",ROUND(SUMIFS(Compras!$L$2:$L$5000,Compras!$A$2:$A$5000,$A283),2))</f>
        <v/>
      </c>
      <c r="F283" s="24">
        <f>IF($A283="","",ROUND($D283-$E283,2))</f>
        <v/>
      </c>
      <c r="G283" s="9">
        <f>IF($A283="","",IF(ABS($F283)&lt;=0.02,"OK","REVISAR"))</f>
        <v/>
      </c>
      <c r="H283" s="9" t="n"/>
      <c r="I283" s="9" t="n"/>
      <c r="J283" s="9" t="n"/>
      <c r="K283" s="9" t="n"/>
      <c r="L283" s="9" t="n"/>
      <c r="M283" s="9">
        <f>IF($A283="","",IF(COUNTIFS($B$2:$B$1000,$B283,$C$2:$C$1000,$C283,$D$2:$D$1000,$D283,$H$2:$H$1000,$H283)&gt;1,"DUPLICADO",""))</f>
        <v/>
      </c>
    </row>
    <row r="284">
      <c r="A284" s="9" t="n"/>
      <c r="B284" s="30" t="n"/>
      <c r="C284" s="9" t="n"/>
      <c r="D284" s="24" t="n"/>
      <c r="E284" s="24">
        <f>IF($A284="","",ROUND(SUMIFS(Compras!$L$2:$L$5000,Compras!$A$2:$A$5000,$A284),2))</f>
        <v/>
      </c>
      <c r="F284" s="24">
        <f>IF($A284="","",ROUND($D284-$E284,2))</f>
        <v/>
      </c>
      <c r="G284" s="9">
        <f>IF($A284="","",IF(ABS($F284)&lt;=0.02,"OK","REVISAR"))</f>
        <v/>
      </c>
      <c r="H284" s="9" t="n"/>
      <c r="I284" s="9" t="n"/>
      <c r="J284" s="9" t="n"/>
      <c r="K284" s="9" t="n"/>
      <c r="L284" s="9" t="n"/>
      <c r="M284" s="9">
        <f>IF($A284="","",IF(COUNTIFS($B$2:$B$1000,$B284,$C$2:$C$1000,$C284,$D$2:$D$1000,$D284,$H$2:$H$1000,$H284)&gt;1,"DUPLICADO",""))</f>
        <v/>
      </c>
    </row>
    <row r="285">
      <c r="A285" s="9" t="n"/>
      <c r="B285" s="30" t="n"/>
      <c r="C285" s="9" t="n"/>
      <c r="D285" s="24" t="n"/>
      <c r="E285" s="24">
        <f>IF($A285="","",ROUND(SUMIFS(Compras!$L$2:$L$5000,Compras!$A$2:$A$5000,$A285),2))</f>
        <v/>
      </c>
      <c r="F285" s="24">
        <f>IF($A285="","",ROUND($D285-$E285,2))</f>
        <v/>
      </c>
      <c r="G285" s="9">
        <f>IF($A285="","",IF(ABS($F285)&lt;=0.02,"OK","REVISAR"))</f>
        <v/>
      </c>
      <c r="H285" s="9" t="n"/>
      <c r="I285" s="9" t="n"/>
      <c r="J285" s="9" t="n"/>
      <c r="K285" s="9" t="n"/>
      <c r="L285" s="9" t="n"/>
      <c r="M285" s="9">
        <f>IF($A285="","",IF(COUNTIFS($B$2:$B$1000,$B285,$C$2:$C$1000,$C285,$D$2:$D$1000,$D285,$H$2:$H$1000,$H285)&gt;1,"DUPLICADO",""))</f>
        <v/>
      </c>
    </row>
    <row r="286">
      <c r="A286" s="9" t="n"/>
      <c r="B286" s="30" t="n"/>
      <c r="C286" s="9" t="n"/>
      <c r="D286" s="24" t="n"/>
      <c r="E286" s="24">
        <f>IF($A286="","",ROUND(SUMIFS(Compras!$L$2:$L$5000,Compras!$A$2:$A$5000,$A286),2))</f>
        <v/>
      </c>
      <c r="F286" s="24">
        <f>IF($A286="","",ROUND($D286-$E286,2))</f>
        <v/>
      </c>
      <c r="G286" s="9">
        <f>IF($A286="","",IF(ABS($F286)&lt;=0.02,"OK","REVISAR"))</f>
        <v/>
      </c>
      <c r="H286" s="9" t="n"/>
      <c r="I286" s="9" t="n"/>
      <c r="J286" s="9" t="n"/>
      <c r="K286" s="9" t="n"/>
      <c r="L286" s="9" t="n"/>
      <c r="M286" s="9">
        <f>IF($A286="","",IF(COUNTIFS($B$2:$B$1000,$B286,$C$2:$C$1000,$C286,$D$2:$D$1000,$D286,$H$2:$H$1000,$H286)&gt;1,"DUPLICADO",""))</f>
        <v/>
      </c>
    </row>
    <row r="287">
      <c r="A287" s="9" t="n"/>
      <c r="B287" s="30" t="n"/>
      <c r="C287" s="9" t="n"/>
      <c r="D287" s="24" t="n"/>
      <c r="E287" s="24">
        <f>IF($A287="","",ROUND(SUMIFS(Compras!$L$2:$L$5000,Compras!$A$2:$A$5000,$A287),2))</f>
        <v/>
      </c>
      <c r="F287" s="24">
        <f>IF($A287="","",ROUND($D287-$E287,2))</f>
        <v/>
      </c>
      <c r="G287" s="9">
        <f>IF($A287="","",IF(ABS($F287)&lt;=0.02,"OK","REVISAR"))</f>
        <v/>
      </c>
      <c r="H287" s="9" t="n"/>
      <c r="I287" s="9" t="n"/>
      <c r="J287" s="9" t="n"/>
      <c r="K287" s="9" t="n"/>
      <c r="L287" s="9" t="n"/>
      <c r="M287" s="9">
        <f>IF($A287="","",IF(COUNTIFS($B$2:$B$1000,$B287,$C$2:$C$1000,$C287,$D$2:$D$1000,$D287,$H$2:$H$1000,$H287)&gt;1,"DUPLICADO",""))</f>
        <v/>
      </c>
    </row>
    <row r="288">
      <c r="A288" s="9" t="n"/>
      <c r="B288" s="30" t="n"/>
      <c r="C288" s="9" t="n"/>
      <c r="D288" s="24" t="n"/>
      <c r="E288" s="24">
        <f>IF($A288="","",ROUND(SUMIFS(Compras!$L$2:$L$5000,Compras!$A$2:$A$5000,$A288),2))</f>
        <v/>
      </c>
      <c r="F288" s="24">
        <f>IF($A288="","",ROUND($D288-$E288,2))</f>
        <v/>
      </c>
      <c r="G288" s="9">
        <f>IF($A288="","",IF(ABS($F288)&lt;=0.02,"OK","REVISAR"))</f>
        <v/>
      </c>
      <c r="H288" s="9" t="n"/>
      <c r="I288" s="9" t="n"/>
      <c r="J288" s="9" t="n"/>
      <c r="K288" s="9" t="n"/>
      <c r="L288" s="9" t="n"/>
      <c r="M288" s="9">
        <f>IF($A288="","",IF(COUNTIFS($B$2:$B$1000,$B288,$C$2:$C$1000,$C288,$D$2:$D$1000,$D288,$H$2:$H$1000,$H288)&gt;1,"DUPLICADO",""))</f>
        <v/>
      </c>
    </row>
    <row r="289">
      <c r="A289" s="9" t="n"/>
      <c r="B289" s="30" t="n"/>
      <c r="C289" s="9" t="n"/>
      <c r="D289" s="24" t="n"/>
      <c r="E289" s="24">
        <f>IF($A289="","",ROUND(SUMIFS(Compras!$L$2:$L$5000,Compras!$A$2:$A$5000,$A289),2))</f>
        <v/>
      </c>
      <c r="F289" s="24">
        <f>IF($A289="","",ROUND($D289-$E289,2))</f>
        <v/>
      </c>
      <c r="G289" s="9">
        <f>IF($A289="","",IF(ABS($F289)&lt;=0.02,"OK","REVISAR"))</f>
        <v/>
      </c>
      <c r="H289" s="9" t="n"/>
      <c r="I289" s="9" t="n"/>
      <c r="J289" s="9" t="n"/>
      <c r="K289" s="9" t="n"/>
      <c r="L289" s="9" t="n"/>
      <c r="M289" s="9">
        <f>IF($A289="","",IF(COUNTIFS($B$2:$B$1000,$B289,$C$2:$C$1000,$C289,$D$2:$D$1000,$D289,$H$2:$H$1000,$H289)&gt;1,"DUPLICADO",""))</f>
        <v/>
      </c>
    </row>
    <row r="290">
      <c r="A290" s="9" t="n"/>
      <c r="B290" s="30" t="n"/>
      <c r="C290" s="9" t="n"/>
      <c r="D290" s="24" t="n"/>
      <c r="E290" s="24">
        <f>IF($A290="","",ROUND(SUMIFS(Compras!$L$2:$L$5000,Compras!$A$2:$A$5000,$A290),2))</f>
        <v/>
      </c>
      <c r="F290" s="24">
        <f>IF($A290="","",ROUND($D290-$E290,2))</f>
        <v/>
      </c>
      <c r="G290" s="9">
        <f>IF($A290="","",IF(ABS($F290)&lt;=0.02,"OK","REVISAR"))</f>
        <v/>
      </c>
      <c r="H290" s="9" t="n"/>
      <c r="I290" s="9" t="n"/>
      <c r="J290" s="9" t="n"/>
      <c r="K290" s="9" t="n"/>
      <c r="L290" s="9" t="n"/>
      <c r="M290" s="9">
        <f>IF($A290="","",IF(COUNTIFS($B$2:$B$1000,$B290,$C$2:$C$1000,$C290,$D$2:$D$1000,$D290,$H$2:$H$1000,$H290)&gt;1,"DUPLICADO",""))</f>
        <v/>
      </c>
    </row>
    <row r="291">
      <c r="A291" s="9" t="n"/>
      <c r="B291" s="30" t="n"/>
      <c r="C291" s="9" t="n"/>
      <c r="D291" s="24" t="n"/>
      <c r="E291" s="24">
        <f>IF($A291="","",ROUND(SUMIFS(Compras!$L$2:$L$5000,Compras!$A$2:$A$5000,$A291),2))</f>
        <v/>
      </c>
      <c r="F291" s="24">
        <f>IF($A291="","",ROUND($D291-$E291,2))</f>
        <v/>
      </c>
      <c r="G291" s="9">
        <f>IF($A291="","",IF(ABS($F291)&lt;=0.02,"OK","REVISAR"))</f>
        <v/>
      </c>
      <c r="H291" s="9" t="n"/>
      <c r="I291" s="9" t="n"/>
      <c r="J291" s="9" t="n"/>
      <c r="K291" s="9" t="n"/>
      <c r="L291" s="9" t="n"/>
      <c r="M291" s="9">
        <f>IF($A291="","",IF(COUNTIFS($B$2:$B$1000,$B291,$C$2:$C$1000,$C291,$D$2:$D$1000,$D291,$H$2:$H$1000,$H291)&gt;1,"DUPLICADO",""))</f>
        <v/>
      </c>
    </row>
    <row r="292">
      <c r="A292" s="9" t="n"/>
      <c r="B292" s="30" t="n"/>
      <c r="C292" s="9" t="n"/>
      <c r="D292" s="24" t="n"/>
      <c r="E292" s="24">
        <f>IF($A292="","",ROUND(SUMIFS(Compras!$L$2:$L$5000,Compras!$A$2:$A$5000,$A292),2))</f>
        <v/>
      </c>
      <c r="F292" s="24">
        <f>IF($A292="","",ROUND($D292-$E292,2))</f>
        <v/>
      </c>
      <c r="G292" s="9">
        <f>IF($A292="","",IF(ABS($F292)&lt;=0.02,"OK","REVISAR"))</f>
        <v/>
      </c>
      <c r="H292" s="9" t="n"/>
      <c r="I292" s="9" t="n"/>
      <c r="J292" s="9" t="n"/>
      <c r="K292" s="9" t="n"/>
      <c r="L292" s="9" t="n"/>
      <c r="M292" s="9">
        <f>IF($A292="","",IF(COUNTIFS($B$2:$B$1000,$B292,$C$2:$C$1000,$C292,$D$2:$D$1000,$D292,$H$2:$H$1000,$H292)&gt;1,"DUPLICADO",""))</f>
        <v/>
      </c>
    </row>
    <row r="293">
      <c r="A293" s="9" t="n"/>
      <c r="B293" s="30" t="n"/>
      <c r="C293" s="9" t="n"/>
      <c r="D293" s="24" t="n"/>
      <c r="E293" s="24">
        <f>IF($A293="","",ROUND(SUMIFS(Compras!$L$2:$L$5000,Compras!$A$2:$A$5000,$A293),2))</f>
        <v/>
      </c>
      <c r="F293" s="24">
        <f>IF($A293="","",ROUND($D293-$E293,2))</f>
        <v/>
      </c>
      <c r="G293" s="9">
        <f>IF($A293="","",IF(ABS($F293)&lt;=0.02,"OK","REVISAR"))</f>
        <v/>
      </c>
      <c r="H293" s="9" t="n"/>
      <c r="I293" s="9" t="n"/>
      <c r="J293" s="9" t="n"/>
      <c r="K293" s="9" t="n"/>
      <c r="L293" s="9" t="n"/>
      <c r="M293" s="9">
        <f>IF($A293="","",IF(COUNTIFS($B$2:$B$1000,$B293,$C$2:$C$1000,$C293,$D$2:$D$1000,$D293,$H$2:$H$1000,$H293)&gt;1,"DUPLICADO",""))</f>
        <v/>
      </c>
    </row>
    <row r="294">
      <c r="A294" s="9" t="n"/>
      <c r="B294" s="30" t="n"/>
      <c r="C294" s="9" t="n"/>
      <c r="D294" s="24" t="n"/>
      <c r="E294" s="24">
        <f>IF($A294="","",ROUND(SUMIFS(Compras!$L$2:$L$5000,Compras!$A$2:$A$5000,$A294),2))</f>
        <v/>
      </c>
      <c r="F294" s="24">
        <f>IF($A294="","",ROUND($D294-$E294,2))</f>
        <v/>
      </c>
      <c r="G294" s="9">
        <f>IF($A294="","",IF(ABS($F294)&lt;=0.02,"OK","REVISAR"))</f>
        <v/>
      </c>
      <c r="H294" s="9" t="n"/>
      <c r="I294" s="9" t="n"/>
      <c r="J294" s="9" t="n"/>
      <c r="K294" s="9" t="n"/>
      <c r="L294" s="9" t="n"/>
      <c r="M294" s="9">
        <f>IF($A294="","",IF(COUNTIFS($B$2:$B$1000,$B294,$C$2:$C$1000,$C294,$D$2:$D$1000,$D294,$H$2:$H$1000,$H294)&gt;1,"DUPLICADO",""))</f>
        <v/>
      </c>
    </row>
    <row r="295">
      <c r="A295" s="9" t="n"/>
      <c r="B295" s="30" t="n"/>
      <c r="C295" s="9" t="n"/>
      <c r="D295" s="24" t="n"/>
      <c r="E295" s="24">
        <f>IF($A295="","",ROUND(SUMIFS(Compras!$L$2:$L$5000,Compras!$A$2:$A$5000,$A295),2))</f>
        <v/>
      </c>
      <c r="F295" s="24">
        <f>IF($A295="","",ROUND($D295-$E295,2))</f>
        <v/>
      </c>
      <c r="G295" s="9">
        <f>IF($A295="","",IF(ABS($F295)&lt;=0.02,"OK","REVISAR"))</f>
        <v/>
      </c>
      <c r="H295" s="9" t="n"/>
      <c r="I295" s="9" t="n"/>
      <c r="J295" s="9" t="n"/>
      <c r="K295" s="9" t="n"/>
      <c r="L295" s="9" t="n"/>
      <c r="M295" s="9">
        <f>IF($A295="","",IF(COUNTIFS($B$2:$B$1000,$B295,$C$2:$C$1000,$C295,$D$2:$D$1000,$D295,$H$2:$H$1000,$H295)&gt;1,"DUPLICADO",""))</f>
        <v/>
      </c>
    </row>
    <row r="296">
      <c r="A296" s="9" t="n"/>
      <c r="B296" s="30" t="n"/>
      <c r="C296" s="9" t="n"/>
      <c r="D296" s="24" t="n"/>
      <c r="E296" s="24">
        <f>IF($A296="","",ROUND(SUMIFS(Compras!$L$2:$L$5000,Compras!$A$2:$A$5000,$A296),2))</f>
        <v/>
      </c>
      <c r="F296" s="24">
        <f>IF($A296="","",ROUND($D296-$E296,2))</f>
        <v/>
      </c>
      <c r="G296" s="9">
        <f>IF($A296="","",IF(ABS($F296)&lt;=0.02,"OK","REVISAR"))</f>
        <v/>
      </c>
      <c r="H296" s="9" t="n"/>
      <c r="I296" s="9" t="n"/>
      <c r="J296" s="9" t="n"/>
      <c r="K296" s="9" t="n"/>
      <c r="L296" s="9" t="n"/>
      <c r="M296" s="9">
        <f>IF($A296="","",IF(COUNTIFS($B$2:$B$1000,$B296,$C$2:$C$1000,$C296,$D$2:$D$1000,$D296,$H$2:$H$1000,$H296)&gt;1,"DUPLICADO",""))</f>
        <v/>
      </c>
    </row>
    <row r="297">
      <c r="A297" s="9" t="n"/>
      <c r="B297" s="30" t="n"/>
      <c r="C297" s="9" t="n"/>
      <c r="D297" s="24" t="n"/>
      <c r="E297" s="24">
        <f>IF($A297="","",ROUND(SUMIFS(Compras!$L$2:$L$5000,Compras!$A$2:$A$5000,$A297),2))</f>
        <v/>
      </c>
      <c r="F297" s="24">
        <f>IF($A297="","",ROUND($D297-$E297,2))</f>
        <v/>
      </c>
      <c r="G297" s="9">
        <f>IF($A297="","",IF(ABS($F297)&lt;=0.02,"OK","REVISAR"))</f>
        <v/>
      </c>
      <c r="H297" s="9" t="n"/>
      <c r="I297" s="9" t="n"/>
      <c r="J297" s="9" t="n"/>
      <c r="K297" s="9" t="n"/>
      <c r="L297" s="9" t="n"/>
      <c r="M297" s="9">
        <f>IF($A297="","",IF(COUNTIFS($B$2:$B$1000,$B297,$C$2:$C$1000,$C297,$D$2:$D$1000,$D297,$H$2:$H$1000,$H297)&gt;1,"DUPLICADO",""))</f>
        <v/>
      </c>
    </row>
    <row r="298">
      <c r="A298" s="9" t="n"/>
      <c r="B298" s="30" t="n"/>
      <c r="C298" s="9" t="n"/>
      <c r="D298" s="24" t="n"/>
      <c r="E298" s="24">
        <f>IF($A298="","",ROUND(SUMIFS(Compras!$L$2:$L$5000,Compras!$A$2:$A$5000,$A298),2))</f>
        <v/>
      </c>
      <c r="F298" s="24">
        <f>IF($A298="","",ROUND($D298-$E298,2))</f>
        <v/>
      </c>
      <c r="G298" s="9">
        <f>IF($A298="","",IF(ABS($F298)&lt;=0.02,"OK","REVISAR"))</f>
        <v/>
      </c>
      <c r="H298" s="9" t="n"/>
      <c r="I298" s="9" t="n"/>
      <c r="J298" s="9" t="n"/>
      <c r="K298" s="9" t="n"/>
      <c r="L298" s="9" t="n"/>
      <c r="M298" s="9">
        <f>IF($A298="","",IF(COUNTIFS($B$2:$B$1000,$B298,$C$2:$C$1000,$C298,$D$2:$D$1000,$D298,$H$2:$H$1000,$H298)&gt;1,"DUPLICADO",""))</f>
        <v/>
      </c>
    </row>
    <row r="299">
      <c r="A299" s="9" t="n"/>
      <c r="B299" s="30" t="n"/>
      <c r="C299" s="9" t="n"/>
      <c r="D299" s="24" t="n"/>
      <c r="E299" s="24">
        <f>IF($A299="","",ROUND(SUMIFS(Compras!$L$2:$L$5000,Compras!$A$2:$A$5000,$A299),2))</f>
        <v/>
      </c>
      <c r="F299" s="24">
        <f>IF($A299="","",ROUND($D299-$E299,2))</f>
        <v/>
      </c>
      <c r="G299" s="9">
        <f>IF($A299="","",IF(ABS($F299)&lt;=0.02,"OK","REVISAR"))</f>
        <v/>
      </c>
      <c r="H299" s="9" t="n"/>
      <c r="I299" s="9" t="n"/>
      <c r="J299" s="9" t="n"/>
      <c r="K299" s="9" t="n"/>
      <c r="L299" s="9" t="n"/>
      <c r="M299" s="9">
        <f>IF($A299="","",IF(COUNTIFS($B$2:$B$1000,$B299,$C$2:$C$1000,$C299,$D$2:$D$1000,$D299,$H$2:$H$1000,$H299)&gt;1,"DUPLICADO",""))</f>
        <v/>
      </c>
    </row>
    <row r="300">
      <c r="A300" s="9" t="n"/>
      <c r="B300" s="30" t="n"/>
      <c r="C300" s="9" t="n"/>
      <c r="D300" s="24" t="n"/>
      <c r="E300" s="24">
        <f>IF($A300="","",ROUND(SUMIFS(Compras!$L$2:$L$5000,Compras!$A$2:$A$5000,$A300),2))</f>
        <v/>
      </c>
      <c r="F300" s="24">
        <f>IF($A300="","",ROUND($D300-$E300,2))</f>
        <v/>
      </c>
      <c r="G300" s="9">
        <f>IF($A300="","",IF(ABS($F300)&lt;=0.02,"OK","REVISAR"))</f>
        <v/>
      </c>
      <c r="H300" s="9" t="n"/>
      <c r="I300" s="9" t="n"/>
      <c r="J300" s="9" t="n"/>
      <c r="K300" s="9" t="n"/>
      <c r="L300" s="9" t="n"/>
      <c r="M300" s="9">
        <f>IF($A300="","",IF(COUNTIFS($B$2:$B$1000,$B300,$C$2:$C$1000,$C300,$D$2:$D$1000,$D300,$H$2:$H$1000,$H300)&gt;1,"DUPLICADO",""))</f>
        <v/>
      </c>
    </row>
    <row r="301">
      <c r="A301" s="9" t="n"/>
      <c r="B301" s="30" t="n"/>
      <c r="C301" s="9" t="n"/>
      <c r="D301" s="24" t="n"/>
      <c r="E301" s="24">
        <f>IF($A301="","",ROUND(SUMIFS(Compras!$L$2:$L$5000,Compras!$A$2:$A$5000,$A301),2))</f>
        <v/>
      </c>
      <c r="F301" s="24">
        <f>IF($A301="","",ROUND($D301-$E301,2))</f>
        <v/>
      </c>
      <c r="G301" s="9">
        <f>IF($A301="","",IF(ABS($F301)&lt;=0.02,"OK","REVISAR"))</f>
        <v/>
      </c>
      <c r="H301" s="9" t="n"/>
      <c r="I301" s="9" t="n"/>
      <c r="J301" s="9" t="n"/>
      <c r="K301" s="9" t="n"/>
      <c r="L301" s="9" t="n"/>
      <c r="M301" s="9">
        <f>IF($A301="","",IF(COUNTIFS($B$2:$B$1000,$B301,$C$2:$C$1000,$C301,$D$2:$D$1000,$D301,$H$2:$H$1000,$H301)&gt;1,"DUPLICADO",""))</f>
        <v/>
      </c>
    </row>
    <row r="302">
      <c r="A302" s="9" t="n"/>
      <c r="B302" s="30" t="n"/>
      <c r="C302" s="9" t="n"/>
      <c r="D302" s="24" t="n"/>
      <c r="E302" s="24">
        <f>IF($A302="","",ROUND(SUMIFS(Compras!$L$2:$L$5000,Compras!$A$2:$A$5000,$A302),2))</f>
        <v/>
      </c>
      <c r="F302" s="24">
        <f>IF($A302="","",ROUND($D302-$E302,2))</f>
        <v/>
      </c>
      <c r="G302" s="9">
        <f>IF($A302="","",IF(ABS($F302)&lt;=0.02,"OK","REVISAR"))</f>
        <v/>
      </c>
      <c r="H302" s="9" t="n"/>
      <c r="I302" s="9" t="n"/>
      <c r="J302" s="9" t="n"/>
      <c r="K302" s="9" t="n"/>
      <c r="L302" s="9" t="n"/>
      <c r="M302" s="9">
        <f>IF($A302="","",IF(COUNTIFS($B$2:$B$1000,$B302,$C$2:$C$1000,$C302,$D$2:$D$1000,$D302,$H$2:$H$1000,$H302)&gt;1,"DUPLICADO",""))</f>
        <v/>
      </c>
    </row>
    <row r="303">
      <c r="A303" s="9" t="n"/>
      <c r="B303" s="30" t="n"/>
      <c r="C303" s="9" t="n"/>
      <c r="D303" s="24" t="n"/>
      <c r="E303" s="24">
        <f>IF($A303="","",ROUND(SUMIFS(Compras!$L$2:$L$5000,Compras!$A$2:$A$5000,$A303),2))</f>
        <v/>
      </c>
      <c r="F303" s="24">
        <f>IF($A303="","",ROUND($D303-$E303,2))</f>
        <v/>
      </c>
      <c r="G303" s="9">
        <f>IF($A303="","",IF(ABS($F303)&lt;=0.02,"OK","REVISAR"))</f>
        <v/>
      </c>
      <c r="H303" s="9" t="n"/>
      <c r="I303" s="9" t="n"/>
      <c r="J303" s="9" t="n"/>
      <c r="K303" s="9" t="n"/>
      <c r="L303" s="9" t="n"/>
      <c r="M303" s="9">
        <f>IF($A303="","",IF(COUNTIFS($B$2:$B$1000,$B303,$C$2:$C$1000,$C303,$D$2:$D$1000,$D303,$H$2:$H$1000,$H303)&gt;1,"DUPLICADO",""))</f>
        <v/>
      </c>
    </row>
    <row r="304">
      <c r="A304" s="9" t="n"/>
      <c r="B304" s="30" t="n"/>
      <c r="C304" s="9" t="n"/>
      <c r="D304" s="24" t="n"/>
      <c r="E304" s="24">
        <f>IF($A304="","",ROUND(SUMIFS(Compras!$L$2:$L$5000,Compras!$A$2:$A$5000,$A304),2))</f>
        <v/>
      </c>
      <c r="F304" s="24">
        <f>IF($A304="","",ROUND($D304-$E304,2))</f>
        <v/>
      </c>
      <c r="G304" s="9">
        <f>IF($A304="","",IF(ABS($F304)&lt;=0.02,"OK","REVISAR"))</f>
        <v/>
      </c>
      <c r="H304" s="9" t="n"/>
      <c r="I304" s="9" t="n"/>
      <c r="J304" s="9" t="n"/>
      <c r="K304" s="9" t="n"/>
      <c r="L304" s="9" t="n"/>
      <c r="M304" s="9">
        <f>IF($A304="","",IF(COUNTIFS($B$2:$B$1000,$B304,$C$2:$C$1000,$C304,$D$2:$D$1000,$D304,$H$2:$H$1000,$H304)&gt;1,"DUPLICADO",""))</f>
        <v/>
      </c>
    </row>
    <row r="305">
      <c r="A305" s="9" t="n"/>
      <c r="B305" s="30" t="n"/>
      <c r="C305" s="9" t="n"/>
      <c r="D305" s="24" t="n"/>
      <c r="E305" s="24">
        <f>IF($A305="","",ROUND(SUMIFS(Compras!$L$2:$L$5000,Compras!$A$2:$A$5000,$A305),2))</f>
        <v/>
      </c>
      <c r="F305" s="24">
        <f>IF($A305="","",ROUND($D305-$E305,2))</f>
        <v/>
      </c>
      <c r="G305" s="9">
        <f>IF($A305="","",IF(ABS($F305)&lt;=0.02,"OK","REVISAR"))</f>
        <v/>
      </c>
      <c r="H305" s="9" t="n"/>
      <c r="I305" s="9" t="n"/>
      <c r="J305" s="9" t="n"/>
      <c r="K305" s="9" t="n"/>
      <c r="L305" s="9" t="n"/>
      <c r="M305" s="9">
        <f>IF($A305="","",IF(COUNTIFS($B$2:$B$1000,$B305,$C$2:$C$1000,$C305,$D$2:$D$1000,$D305,$H$2:$H$1000,$H305)&gt;1,"DUPLICADO",""))</f>
        <v/>
      </c>
    </row>
    <row r="306">
      <c r="A306" s="9" t="n"/>
      <c r="B306" s="30" t="n"/>
      <c r="C306" s="9" t="n"/>
      <c r="D306" s="24" t="n"/>
      <c r="E306" s="24">
        <f>IF($A306="","",ROUND(SUMIFS(Compras!$L$2:$L$5000,Compras!$A$2:$A$5000,$A306),2))</f>
        <v/>
      </c>
      <c r="F306" s="24">
        <f>IF($A306="","",ROUND($D306-$E306,2))</f>
        <v/>
      </c>
      <c r="G306" s="9">
        <f>IF($A306="","",IF(ABS($F306)&lt;=0.02,"OK","REVISAR"))</f>
        <v/>
      </c>
      <c r="H306" s="9" t="n"/>
      <c r="I306" s="9" t="n"/>
      <c r="J306" s="9" t="n"/>
      <c r="K306" s="9" t="n"/>
      <c r="L306" s="9" t="n"/>
      <c r="M306" s="9">
        <f>IF($A306="","",IF(COUNTIFS($B$2:$B$1000,$B306,$C$2:$C$1000,$C306,$D$2:$D$1000,$D306,$H$2:$H$1000,$H306)&gt;1,"DUPLICADO",""))</f>
        <v/>
      </c>
    </row>
    <row r="307">
      <c r="A307" s="9" t="n"/>
      <c r="B307" s="30" t="n"/>
      <c r="C307" s="9" t="n"/>
      <c r="D307" s="24" t="n"/>
      <c r="E307" s="24">
        <f>IF($A307="","",ROUND(SUMIFS(Compras!$L$2:$L$5000,Compras!$A$2:$A$5000,$A307),2))</f>
        <v/>
      </c>
      <c r="F307" s="24">
        <f>IF($A307="","",ROUND($D307-$E307,2))</f>
        <v/>
      </c>
      <c r="G307" s="9">
        <f>IF($A307="","",IF(ABS($F307)&lt;=0.02,"OK","REVISAR"))</f>
        <v/>
      </c>
      <c r="H307" s="9" t="n"/>
      <c r="I307" s="9" t="n"/>
      <c r="J307" s="9" t="n"/>
      <c r="K307" s="9" t="n"/>
      <c r="L307" s="9" t="n"/>
      <c r="M307" s="9">
        <f>IF($A307="","",IF(COUNTIFS($B$2:$B$1000,$B307,$C$2:$C$1000,$C307,$D$2:$D$1000,$D307,$H$2:$H$1000,$H307)&gt;1,"DUPLICADO",""))</f>
        <v/>
      </c>
    </row>
    <row r="308">
      <c r="A308" s="9" t="n"/>
      <c r="B308" s="30" t="n"/>
      <c r="C308" s="9" t="n"/>
      <c r="D308" s="24" t="n"/>
      <c r="E308" s="24">
        <f>IF($A308="","",ROUND(SUMIFS(Compras!$L$2:$L$5000,Compras!$A$2:$A$5000,$A308),2))</f>
        <v/>
      </c>
      <c r="F308" s="24">
        <f>IF($A308="","",ROUND($D308-$E308,2))</f>
        <v/>
      </c>
      <c r="G308" s="9">
        <f>IF($A308="","",IF(ABS($F308)&lt;=0.02,"OK","REVISAR"))</f>
        <v/>
      </c>
      <c r="H308" s="9" t="n"/>
      <c r="I308" s="9" t="n"/>
      <c r="J308" s="9" t="n"/>
      <c r="K308" s="9" t="n"/>
      <c r="L308" s="9" t="n"/>
      <c r="M308" s="9">
        <f>IF($A308="","",IF(COUNTIFS($B$2:$B$1000,$B308,$C$2:$C$1000,$C308,$D$2:$D$1000,$D308,$H$2:$H$1000,$H308)&gt;1,"DUPLICADO",""))</f>
        <v/>
      </c>
    </row>
    <row r="309">
      <c r="A309" s="9" t="n"/>
      <c r="B309" s="30" t="n"/>
      <c r="C309" s="9" t="n"/>
      <c r="D309" s="24" t="n"/>
      <c r="E309" s="24">
        <f>IF($A309="","",ROUND(SUMIFS(Compras!$L$2:$L$5000,Compras!$A$2:$A$5000,$A309),2))</f>
        <v/>
      </c>
      <c r="F309" s="24">
        <f>IF($A309="","",ROUND($D309-$E309,2))</f>
        <v/>
      </c>
      <c r="G309" s="9">
        <f>IF($A309="","",IF(ABS($F309)&lt;=0.02,"OK","REVISAR"))</f>
        <v/>
      </c>
      <c r="H309" s="9" t="n"/>
      <c r="I309" s="9" t="n"/>
      <c r="J309" s="9" t="n"/>
      <c r="K309" s="9" t="n"/>
      <c r="L309" s="9" t="n"/>
      <c r="M309" s="9">
        <f>IF($A309="","",IF(COUNTIFS($B$2:$B$1000,$B309,$C$2:$C$1000,$C309,$D$2:$D$1000,$D309,$H$2:$H$1000,$H309)&gt;1,"DUPLICADO",""))</f>
        <v/>
      </c>
    </row>
    <row r="310">
      <c r="A310" s="9" t="n"/>
      <c r="B310" s="30" t="n"/>
      <c r="C310" s="9" t="n"/>
      <c r="D310" s="24" t="n"/>
      <c r="E310" s="24">
        <f>IF($A310="","",ROUND(SUMIFS(Compras!$L$2:$L$5000,Compras!$A$2:$A$5000,$A310),2))</f>
        <v/>
      </c>
      <c r="F310" s="24">
        <f>IF($A310="","",ROUND($D310-$E310,2))</f>
        <v/>
      </c>
      <c r="G310" s="9">
        <f>IF($A310="","",IF(ABS($F310)&lt;=0.02,"OK","REVISAR"))</f>
        <v/>
      </c>
      <c r="H310" s="9" t="n"/>
      <c r="I310" s="9" t="n"/>
      <c r="J310" s="9" t="n"/>
      <c r="K310" s="9" t="n"/>
      <c r="L310" s="9" t="n"/>
      <c r="M310" s="9">
        <f>IF($A310="","",IF(COUNTIFS($B$2:$B$1000,$B310,$C$2:$C$1000,$C310,$D$2:$D$1000,$D310,$H$2:$H$1000,$H310)&gt;1,"DUPLICADO",""))</f>
        <v/>
      </c>
    </row>
    <row r="311">
      <c r="A311" s="9" t="n"/>
      <c r="B311" s="30" t="n"/>
      <c r="C311" s="9" t="n"/>
      <c r="D311" s="24" t="n"/>
      <c r="E311" s="24">
        <f>IF($A311="","",ROUND(SUMIFS(Compras!$L$2:$L$5000,Compras!$A$2:$A$5000,$A311),2))</f>
        <v/>
      </c>
      <c r="F311" s="24">
        <f>IF($A311="","",ROUND($D311-$E311,2))</f>
        <v/>
      </c>
      <c r="G311" s="9">
        <f>IF($A311="","",IF(ABS($F311)&lt;=0.02,"OK","REVISAR"))</f>
        <v/>
      </c>
      <c r="H311" s="9" t="n"/>
      <c r="I311" s="9" t="n"/>
      <c r="J311" s="9" t="n"/>
      <c r="K311" s="9" t="n"/>
      <c r="L311" s="9" t="n"/>
      <c r="M311" s="9">
        <f>IF($A311="","",IF(COUNTIFS($B$2:$B$1000,$B311,$C$2:$C$1000,$C311,$D$2:$D$1000,$D311,$H$2:$H$1000,$H311)&gt;1,"DUPLICADO",""))</f>
        <v/>
      </c>
    </row>
    <row r="312">
      <c r="A312" s="9" t="n"/>
      <c r="B312" s="30" t="n"/>
      <c r="C312" s="9" t="n"/>
      <c r="D312" s="24" t="n"/>
      <c r="E312" s="24">
        <f>IF($A312="","",ROUND(SUMIFS(Compras!$L$2:$L$5000,Compras!$A$2:$A$5000,$A312),2))</f>
        <v/>
      </c>
      <c r="F312" s="24">
        <f>IF($A312="","",ROUND($D312-$E312,2))</f>
        <v/>
      </c>
      <c r="G312" s="9">
        <f>IF($A312="","",IF(ABS($F312)&lt;=0.02,"OK","REVISAR"))</f>
        <v/>
      </c>
      <c r="H312" s="9" t="n"/>
      <c r="I312" s="9" t="n"/>
      <c r="J312" s="9" t="n"/>
      <c r="K312" s="9" t="n"/>
      <c r="L312" s="9" t="n"/>
      <c r="M312" s="9">
        <f>IF($A312="","",IF(COUNTIFS($B$2:$B$1000,$B312,$C$2:$C$1000,$C312,$D$2:$D$1000,$D312,$H$2:$H$1000,$H312)&gt;1,"DUPLICADO",""))</f>
        <v/>
      </c>
    </row>
    <row r="313">
      <c r="A313" s="9" t="n"/>
      <c r="B313" s="30" t="n"/>
      <c r="C313" s="9" t="n"/>
      <c r="D313" s="24" t="n"/>
      <c r="E313" s="24">
        <f>IF($A313="","",ROUND(SUMIFS(Compras!$L$2:$L$5000,Compras!$A$2:$A$5000,$A313),2))</f>
        <v/>
      </c>
      <c r="F313" s="24">
        <f>IF($A313="","",ROUND($D313-$E313,2))</f>
        <v/>
      </c>
      <c r="G313" s="9">
        <f>IF($A313="","",IF(ABS($F313)&lt;=0.02,"OK","REVISAR"))</f>
        <v/>
      </c>
      <c r="H313" s="9" t="n"/>
      <c r="I313" s="9" t="n"/>
      <c r="J313" s="9" t="n"/>
      <c r="K313" s="9" t="n"/>
      <c r="L313" s="9" t="n"/>
      <c r="M313" s="9">
        <f>IF($A313="","",IF(COUNTIFS($B$2:$B$1000,$B313,$C$2:$C$1000,$C313,$D$2:$D$1000,$D313,$H$2:$H$1000,$H313)&gt;1,"DUPLICADO",""))</f>
        <v/>
      </c>
    </row>
    <row r="314">
      <c r="A314" s="9" t="n"/>
      <c r="B314" s="30" t="n"/>
      <c r="C314" s="9" t="n"/>
      <c r="D314" s="24" t="n"/>
      <c r="E314" s="24">
        <f>IF($A314="","",ROUND(SUMIFS(Compras!$L$2:$L$5000,Compras!$A$2:$A$5000,$A314),2))</f>
        <v/>
      </c>
      <c r="F314" s="24">
        <f>IF($A314="","",ROUND($D314-$E314,2))</f>
        <v/>
      </c>
      <c r="G314" s="9">
        <f>IF($A314="","",IF(ABS($F314)&lt;=0.02,"OK","REVISAR"))</f>
        <v/>
      </c>
      <c r="H314" s="9" t="n"/>
      <c r="I314" s="9" t="n"/>
      <c r="J314" s="9" t="n"/>
      <c r="K314" s="9" t="n"/>
      <c r="L314" s="9" t="n"/>
      <c r="M314" s="9">
        <f>IF($A314="","",IF(COUNTIFS($B$2:$B$1000,$B314,$C$2:$C$1000,$C314,$D$2:$D$1000,$D314,$H$2:$H$1000,$H314)&gt;1,"DUPLICADO",""))</f>
        <v/>
      </c>
    </row>
    <row r="315">
      <c r="A315" s="9" t="n"/>
      <c r="B315" s="30" t="n"/>
      <c r="C315" s="9" t="n"/>
      <c r="D315" s="24" t="n"/>
      <c r="E315" s="24">
        <f>IF($A315="","",ROUND(SUMIFS(Compras!$L$2:$L$5000,Compras!$A$2:$A$5000,$A315),2))</f>
        <v/>
      </c>
      <c r="F315" s="24">
        <f>IF($A315="","",ROUND($D315-$E315,2))</f>
        <v/>
      </c>
      <c r="G315" s="9">
        <f>IF($A315="","",IF(ABS($F315)&lt;=0.02,"OK","REVISAR"))</f>
        <v/>
      </c>
      <c r="H315" s="9" t="n"/>
      <c r="I315" s="9" t="n"/>
      <c r="J315" s="9" t="n"/>
      <c r="K315" s="9" t="n"/>
      <c r="L315" s="9" t="n"/>
      <c r="M315" s="9">
        <f>IF($A315="","",IF(COUNTIFS($B$2:$B$1000,$B315,$C$2:$C$1000,$C315,$D$2:$D$1000,$D315,$H$2:$H$1000,$H315)&gt;1,"DUPLICADO",""))</f>
        <v/>
      </c>
    </row>
    <row r="316">
      <c r="A316" s="9" t="n"/>
      <c r="B316" s="30" t="n"/>
      <c r="C316" s="9" t="n"/>
      <c r="D316" s="24" t="n"/>
      <c r="E316" s="24">
        <f>IF($A316="","",ROUND(SUMIFS(Compras!$L$2:$L$5000,Compras!$A$2:$A$5000,$A316),2))</f>
        <v/>
      </c>
      <c r="F316" s="24">
        <f>IF($A316="","",ROUND($D316-$E316,2))</f>
        <v/>
      </c>
      <c r="G316" s="9">
        <f>IF($A316="","",IF(ABS($F316)&lt;=0.02,"OK","REVISAR"))</f>
        <v/>
      </c>
      <c r="H316" s="9" t="n"/>
      <c r="I316" s="9" t="n"/>
      <c r="J316" s="9" t="n"/>
      <c r="K316" s="9" t="n"/>
      <c r="L316" s="9" t="n"/>
      <c r="M316" s="9">
        <f>IF($A316="","",IF(COUNTIFS($B$2:$B$1000,$B316,$C$2:$C$1000,$C316,$D$2:$D$1000,$D316,$H$2:$H$1000,$H316)&gt;1,"DUPLICADO",""))</f>
        <v/>
      </c>
    </row>
    <row r="317">
      <c r="A317" s="9" t="n"/>
      <c r="B317" s="30" t="n"/>
      <c r="C317" s="9" t="n"/>
      <c r="D317" s="24" t="n"/>
      <c r="E317" s="24">
        <f>IF($A317="","",ROUND(SUMIFS(Compras!$L$2:$L$5000,Compras!$A$2:$A$5000,$A317),2))</f>
        <v/>
      </c>
      <c r="F317" s="24">
        <f>IF($A317="","",ROUND($D317-$E317,2))</f>
        <v/>
      </c>
      <c r="G317" s="9">
        <f>IF($A317="","",IF(ABS($F317)&lt;=0.02,"OK","REVISAR"))</f>
        <v/>
      </c>
      <c r="H317" s="9" t="n"/>
      <c r="I317" s="9" t="n"/>
      <c r="J317" s="9" t="n"/>
      <c r="K317" s="9" t="n"/>
      <c r="L317" s="9" t="n"/>
      <c r="M317" s="9">
        <f>IF($A317="","",IF(COUNTIFS($B$2:$B$1000,$B317,$C$2:$C$1000,$C317,$D$2:$D$1000,$D317,$H$2:$H$1000,$H317)&gt;1,"DUPLICADO",""))</f>
        <v/>
      </c>
    </row>
    <row r="318">
      <c r="A318" s="9" t="n"/>
      <c r="B318" s="30" t="n"/>
      <c r="C318" s="9" t="n"/>
      <c r="D318" s="24" t="n"/>
      <c r="E318" s="24">
        <f>IF($A318="","",ROUND(SUMIFS(Compras!$L$2:$L$5000,Compras!$A$2:$A$5000,$A318),2))</f>
        <v/>
      </c>
      <c r="F318" s="24">
        <f>IF($A318="","",ROUND($D318-$E318,2))</f>
        <v/>
      </c>
      <c r="G318" s="9">
        <f>IF($A318="","",IF(ABS($F318)&lt;=0.02,"OK","REVISAR"))</f>
        <v/>
      </c>
      <c r="H318" s="9" t="n"/>
      <c r="I318" s="9" t="n"/>
      <c r="J318" s="9" t="n"/>
      <c r="K318" s="9" t="n"/>
      <c r="L318" s="9" t="n"/>
      <c r="M318" s="9">
        <f>IF($A318="","",IF(COUNTIFS($B$2:$B$1000,$B318,$C$2:$C$1000,$C318,$D$2:$D$1000,$D318,$H$2:$H$1000,$H318)&gt;1,"DUPLICADO",""))</f>
        <v/>
      </c>
    </row>
    <row r="319">
      <c r="A319" s="9" t="n"/>
      <c r="B319" s="30" t="n"/>
      <c r="C319" s="9" t="n"/>
      <c r="D319" s="24" t="n"/>
      <c r="E319" s="24">
        <f>IF($A319="","",ROUND(SUMIFS(Compras!$L$2:$L$5000,Compras!$A$2:$A$5000,$A319),2))</f>
        <v/>
      </c>
      <c r="F319" s="24">
        <f>IF($A319="","",ROUND($D319-$E319,2))</f>
        <v/>
      </c>
      <c r="G319" s="9">
        <f>IF($A319="","",IF(ABS($F319)&lt;=0.02,"OK","REVISAR"))</f>
        <v/>
      </c>
      <c r="H319" s="9" t="n"/>
      <c r="I319" s="9" t="n"/>
      <c r="J319" s="9" t="n"/>
      <c r="K319" s="9" t="n"/>
      <c r="L319" s="9" t="n"/>
      <c r="M319" s="9">
        <f>IF($A319="","",IF(COUNTIFS($B$2:$B$1000,$B319,$C$2:$C$1000,$C319,$D$2:$D$1000,$D319,$H$2:$H$1000,$H319)&gt;1,"DUPLICADO",""))</f>
        <v/>
      </c>
    </row>
    <row r="320">
      <c r="A320" s="9" t="n"/>
      <c r="B320" s="30" t="n"/>
      <c r="C320" s="9" t="n"/>
      <c r="D320" s="24" t="n"/>
      <c r="E320" s="24">
        <f>IF($A320="","",ROUND(SUMIFS(Compras!$L$2:$L$5000,Compras!$A$2:$A$5000,$A320),2))</f>
        <v/>
      </c>
      <c r="F320" s="24">
        <f>IF($A320="","",ROUND($D320-$E320,2))</f>
        <v/>
      </c>
      <c r="G320" s="9">
        <f>IF($A320="","",IF(ABS($F320)&lt;=0.02,"OK","REVISAR"))</f>
        <v/>
      </c>
      <c r="H320" s="9" t="n"/>
      <c r="I320" s="9" t="n"/>
      <c r="J320" s="9" t="n"/>
      <c r="K320" s="9" t="n"/>
      <c r="L320" s="9" t="n"/>
      <c r="M320" s="9">
        <f>IF($A320="","",IF(COUNTIFS($B$2:$B$1000,$B320,$C$2:$C$1000,$C320,$D$2:$D$1000,$D320,$H$2:$H$1000,$H320)&gt;1,"DUPLICADO",""))</f>
        <v/>
      </c>
    </row>
    <row r="321">
      <c r="A321" s="9" t="n"/>
      <c r="B321" s="30" t="n"/>
      <c r="C321" s="9" t="n"/>
      <c r="D321" s="24" t="n"/>
      <c r="E321" s="24">
        <f>IF($A321="","",ROUND(SUMIFS(Compras!$L$2:$L$5000,Compras!$A$2:$A$5000,$A321),2))</f>
        <v/>
      </c>
      <c r="F321" s="24">
        <f>IF($A321="","",ROUND($D321-$E321,2))</f>
        <v/>
      </c>
      <c r="G321" s="9">
        <f>IF($A321="","",IF(ABS($F321)&lt;=0.02,"OK","REVISAR"))</f>
        <v/>
      </c>
      <c r="H321" s="9" t="n"/>
      <c r="I321" s="9" t="n"/>
      <c r="J321" s="9" t="n"/>
      <c r="K321" s="9" t="n"/>
      <c r="L321" s="9" t="n"/>
      <c r="M321" s="9">
        <f>IF($A321="","",IF(COUNTIFS($B$2:$B$1000,$B321,$C$2:$C$1000,$C321,$D$2:$D$1000,$D321,$H$2:$H$1000,$H321)&gt;1,"DUPLICADO",""))</f>
        <v/>
      </c>
    </row>
    <row r="322">
      <c r="A322" s="9" t="n"/>
      <c r="B322" s="30" t="n"/>
      <c r="C322" s="9" t="n"/>
      <c r="D322" s="24" t="n"/>
      <c r="E322" s="24">
        <f>IF($A322="","",ROUND(SUMIFS(Compras!$L$2:$L$5000,Compras!$A$2:$A$5000,$A322),2))</f>
        <v/>
      </c>
      <c r="F322" s="24">
        <f>IF($A322="","",ROUND($D322-$E322,2))</f>
        <v/>
      </c>
      <c r="G322" s="9">
        <f>IF($A322="","",IF(ABS($F322)&lt;=0.02,"OK","REVISAR"))</f>
        <v/>
      </c>
      <c r="H322" s="9" t="n"/>
      <c r="I322" s="9" t="n"/>
      <c r="J322" s="9" t="n"/>
      <c r="K322" s="9" t="n"/>
      <c r="L322" s="9" t="n"/>
      <c r="M322" s="9">
        <f>IF($A322="","",IF(COUNTIFS($B$2:$B$1000,$B322,$C$2:$C$1000,$C322,$D$2:$D$1000,$D322,$H$2:$H$1000,$H322)&gt;1,"DUPLICADO",""))</f>
        <v/>
      </c>
    </row>
    <row r="323">
      <c r="A323" s="9" t="n"/>
      <c r="B323" s="30" t="n"/>
      <c r="C323" s="9" t="n"/>
      <c r="D323" s="24" t="n"/>
      <c r="E323" s="24">
        <f>IF($A323="","",ROUND(SUMIFS(Compras!$L$2:$L$5000,Compras!$A$2:$A$5000,$A323),2))</f>
        <v/>
      </c>
      <c r="F323" s="24">
        <f>IF($A323="","",ROUND($D323-$E323,2))</f>
        <v/>
      </c>
      <c r="G323" s="9">
        <f>IF($A323="","",IF(ABS($F323)&lt;=0.02,"OK","REVISAR"))</f>
        <v/>
      </c>
      <c r="H323" s="9" t="n"/>
      <c r="I323" s="9" t="n"/>
      <c r="J323" s="9" t="n"/>
      <c r="K323" s="9" t="n"/>
      <c r="L323" s="9" t="n"/>
      <c r="M323" s="9">
        <f>IF($A323="","",IF(COUNTIFS($B$2:$B$1000,$B323,$C$2:$C$1000,$C323,$D$2:$D$1000,$D323,$H$2:$H$1000,$H323)&gt;1,"DUPLICADO",""))</f>
        <v/>
      </c>
    </row>
    <row r="324">
      <c r="A324" s="9" t="n"/>
      <c r="B324" s="30" t="n"/>
      <c r="C324" s="9" t="n"/>
      <c r="D324" s="24" t="n"/>
      <c r="E324" s="24">
        <f>IF($A324="","",ROUND(SUMIFS(Compras!$L$2:$L$5000,Compras!$A$2:$A$5000,$A324),2))</f>
        <v/>
      </c>
      <c r="F324" s="24">
        <f>IF($A324="","",ROUND($D324-$E324,2))</f>
        <v/>
      </c>
      <c r="G324" s="9">
        <f>IF($A324="","",IF(ABS($F324)&lt;=0.02,"OK","REVISAR"))</f>
        <v/>
      </c>
      <c r="H324" s="9" t="n"/>
      <c r="I324" s="9" t="n"/>
      <c r="J324" s="9" t="n"/>
      <c r="K324" s="9" t="n"/>
      <c r="L324" s="9" t="n"/>
      <c r="M324" s="9">
        <f>IF($A324="","",IF(COUNTIFS($B$2:$B$1000,$B324,$C$2:$C$1000,$C324,$D$2:$D$1000,$D324,$H$2:$H$1000,$H324)&gt;1,"DUPLICADO",""))</f>
        <v/>
      </c>
    </row>
    <row r="325">
      <c r="A325" s="9" t="n"/>
      <c r="B325" s="30" t="n"/>
      <c r="C325" s="9" t="n"/>
      <c r="D325" s="24" t="n"/>
      <c r="E325" s="24">
        <f>IF($A325="","",ROUND(SUMIFS(Compras!$L$2:$L$5000,Compras!$A$2:$A$5000,$A325),2))</f>
        <v/>
      </c>
      <c r="F325" s="24">
        <f>IF($A325="","",ROUND($D325-$E325,2))</f>
        <v/>
      </c>
      <c r="G325" s="9">
        <f>IF($A325="","",IF(ABS($F325)&lt;=0.02,"OK","REVISAR"))</f>
        <v/>
      </c>
      <c r="H325" s="9" t="n"/>
      <c r="I325" s="9" t="n"/>
      <c r="J325" s="9" t="n"/>
      <c r="K325" s="9" t="n"/>
      <c r="L325" s="9" t="n"/>
      <c r="M325" s="9">
        <f>IF($A325="","",IF(COUNTIFS($B$2:$B$1000,$B325,$C$2:$C$1000,$C325,$D$2:$D$1000,$D325,$H$2:$H$1000,$H325)&gt;1,"DUPLICADO",""))</f>
        <v/>
      </c>
    </row>
    <row r="326">
      <c r="A326" s="9" t="n"/>
      <c r="B326" s="30" t="n"/>
      <c r="C326" s="9" t="n"/>
      <c r="D326" s="24" t="n"/>
      <c r="E326" s="24">
        <f>IF($A326="","",ROUND(SUMIFS(Compras!$L$2:$L$5000,Compras!$A$2:$A$5000,$A326),2))</f>
        <v/>
      </c>
      <c r="F326" s="24">
        <f>IF($A326="","",ROUND($D326-$E326,2))</f>
        <v/>
      </c>
      <c r="G326" s="9">
        <f>IF($A326="","",IF(ABS($F326)&lt;=0.02,"OK","REVISAR"))</f>
        <v/>
      </c>
      <c r="H326" s="9" t="n"/>
      <c r="I326" s="9" t="n"/>
      <c r="J326" s="9" t="n"/>
      <c r="K326" s="9" t="n"/>
      <c r="L326" s="9" t="n"/>
      <c r="M326" s="9">
        <f>IF($A326="","",IF(COUNTIFS($B$2:$B$1000,$B326,$C$2:$C$1000,$C326,$D$2:$D$1000,$D326,$H$2:$H$1000,$H326)&gt;1,"DUPLICADO",""))</f>
        <v/>
      </c>
    </row>
    <row r="327">
      <c r="A327" s="9" t="n"/>
      <c r="B327" s="30" t="n"/>
      <c r="C327" s="9" t="n"/>
      <c r="D327" s="24" t="n"/>
      <c r="E327" s="24">
        <f>IF($A327="","",ROUND(SUMIFS(Compras!$L$2:$L$5000,Compras!$A$2:$A$5000,$A327),2))</f>
        <v/>
      </c>
      <c r="F327" s="24">
        <f>IF($A327="","",ROUND($D327-$E327,2))</f>
        <v/>
      </c>
      <c r="G327" s="9">
        <f>IF($A327="","",IF(ABS($F327)&lt;=0.02,"OK","REVISAR"))</f>
        <v/>
      </c>
      <c r="H327" s="9" t="n"/>
      <c r="I327" s="9" t="n"/>
      <c r="J327" s="9" t="n"/>
      <c r="K327" s="9" t="n"/>
      <c r="L327" s="9" t="n"/>
      <c r="M327" s="9">
        <f>IF($A327="","",IF(COUNTIFS($B$2:$B$1000,$B327,$C$2:$C$1000,$C327,$D$2:$D$1000,$D327,$H$2:$H$1000,$H327)&gt;1,"DUPLICADO",""))</f>
        <v/>
      </c>
    </row>
    <row r="328">
      <c r="A328" s="9" t="n"/>
      <c r="B328" s="30" t="n"/>
      <c r="C328" s="9" t="n"/>
      <c r="D328" s="24" t="n"/>
      <c r="E328" s="24">
        <f>IF($A328="","",ROUND(SUMIFS(Compras!$L$2:$L$5000,Compras!$A$2:$A$5000,$A328),2))</f>
        <v/>
      </c>
      <c r="F328" s="24">
        <f>IF($A328="","",ROUND($D328-$E328,2))</f>
        <v/>
      </c>
      <c r="G328" s="9">
        <f>IF($A328="","",IF(ABS($F328)&lt;=0.02,"OK","REVISAR"))</f>
        <v/>
      </c>
      <c r="H328" s="9" t="n"/>
      <c r="I328" s="9" t="n"/>
      <c r="J328" s="9" t="n"/>
      <c r="K328" s="9" t="n"/>
      <c r="L328" s="9" t="n"/>
      <c r="M328" s="9">
        <f>IF($A328="","",IF(COUNTIFS($B$2:$B$1000,$B328,$C$2:$C$1000,$C328,$D$2:$D$1000,$D328,$H$2:$H$1000,$H328)&gt;1,"DUPLICADO",""))</f>
        <v/>
      </c>
    </row>
    <row r="329">
      <c r="A329" s="9" t="n"/>
      <c r="B329" s="30" t="n"/>
      <c r="C329" s="9" t="n"/>
      <c r="D329" s="24" t="n"/>
      <c r="E329" s="24">
        <f>IF($A329="","",ROUND(SUMIFS(Compras!$L$2:$L$5000,Compras!$A$2:$A$5000,$A329),2))</f>
        <v/>
      </c>
      <c r="F329" s="24">
        <f>IF($A329="","",ROUND($D329-$E329,2))</f>
        <v/>
      </c>
      <c r="G329" s="9">
        <f>IF($A329="","",IF(ABS($F329)&lt;=0.02,"OK","REVISAR"))</f>
        <v/>
      </c>
      <c r="H329" s="9" t="n"/>
      <c r="I329" s="9" t="n"/>
      <c r="J329" s="9" t="n"/>
      <c r="K329" s="9" t="n"/>
      <c r="L329" s="9" t="n"/>
      <c r="M329" s="9">
        <f>IF($A329="","",IF(COUNTIFS($B$2:$B$1000,$B329,$C$2:$C$1000,$C329,$D$2:$D$1000,$D329,$H$2:$H$1000,$H329)&gt;1,"DUPLICADO",""))</f>
        <v/>
      </c>
    </row>
    <row r="330">
      <c r="A330" s="9" t="n"/>
      <c r="B330" s="30" t="n"/>
      <c r="C330" s="9" t="n"/>
      <c r="D330" s="24" t="n"/>
      <c r="E330" s="24">
        <f>IF($A330="","",ROUND(SUMIFS(Compras!$L$2:$L$5000,Compras!$A$2:$A$5000,$A330),2))</f>
        <v/>
      </c>
      <c r="F330" s="24">
        <f>IF($A330="","",ROUND($D330-$E330,2))</f>
        <v/>
      </c>
      <c r="G330" s="9">
        <f>IF($A330="","",IF(ABS($F330)&lt;=0.02,"OK","REVISAR"))</f>
        <v/>
      </c>
      <c r="H330" s="9" t="n"/>
      <c r="I330" s="9" t="n"/>
      <c r="J330" s="9" t="n"/>
      <c r="K330" s="9" t="n"/>
      <c r="L330" s="9" t="n"/>
      <c r="M330" s="9">
        <f>IF($A330="","",IF(COUNTIFS($B$2:$B$1000,$B330,$C$2:$C$1000,$C330,$D$2:$D$1000,$D330,$H$2:$H$1000,$H330)&gt;1,"DUPLICADO",""))</f>
        <v/>
      </c>
    </row>
    <row r="331">
      <c r="A331" s="9" t="n"/>
      <c r="B331" s="30" t="n"/>
      <c r="C331" s="9" t="n"/>
      <c r="D331" s="24" t="n"/>
      <c r="E331" s="24">
        <f>IF($A331="","",ROUND(SUMIFS(Compras!$L$2:$L$5000,Compras!$A$2:$A$5000,$A331),2))</f>
        <v/>
      </c>
      <c r="F331" s="24">
        <f>IF($A331="","",ROUND($D331-$E331,2))</f>
        <v/>
      </c>
      <c r="G331" s="9">
        <f>IF($A331="","",IF(ABS($F331)&lt;=0.02,"OK","REVISAR"))</f>
        <v/>
      </c>
      <c r="H331" s="9" t="n"/>
      <c r="I331" s="9" t="n"/>
      <c r="J331" s="9" t="n"/>
      <c r="K331" s="9" t="n"/>
      <c r="L331" s="9" t="n"/>
      <c r="M331" s="9">
        <f>IF($A331="","",IF(COUNTIFS($B$2:$B$1000,$B331,$C$2:$C$1000,$C331,$D$2:$D$1000,$D331,$H$2:$H$1000,$H331)&gt;1,"DUPLICADO",""))</f>
        <v/>
      </c>
    </row>
    <row r="332">
      <c r="A332" s="9" t="n"/>
      <c r="B332" s="30" t="n"/>
      <c r="C332" s="9" t="n"/>
      <c r="D332" s="24" t="n"/>
      <c r="E332" s="24">
        <f>IF($A332="","",ROUND(SUMIFS(Compras!$L$2:$L$5000,Compras!$A$2:$A$5000,$A332),2))</f>
        <v/>
      </c>
      <c r="F332" s="24">
        <f>IF($A332="","",ROUND($D332-$E332,2))</f>
        <v/>
      </c>
      <c r="G332" s="9">
        <f>IF($A332="","",IF(ABS($F332)&lt;=0.02,"OK","REVISAR"))</f>
        <v/>
      </c>
      <c r="H332" s="9" t="n"/>
      <c r="I332" s="9" t="n"/>
      <c r="J332" s="9" t="n"/>
      <c r="K332" s="9" t="n"/>
      <c r="L332" s="9" t="n"/>
      <c r="M332" s="9">
        <f>IF($A332="","",IF(COUNTIFS($B$2:$B$1000,$B332,$C$2:$C$1000,$C332,$D$2:$D$1000,$D332,$H$2:$H$1000,$H332)&gt;1,"DUPLICADO",""))</f>
        <v/>
      </c>
    </row>
    <row r="333">
      <c r="A333" s="9" t="n"/>
      <c r="B333" s="30" t="n"/>
      <c r="C333" s="9" t="n"/>
      <c r="D333" s="24" t="n"/>
      <c r="E333" s="24">
        <f>IF($A333="","",ROUND(SUMIFS(Compras!$L$2:$L$5000,Compras!$A$2:$A$5000,$A333),2))</f>
        <v/>
      </c>
      <c r="F333" s="24">
        <f>IF($A333="","",ROUND($D333-$E333,2))</f>
        <v/>
      </c>
      <c r="G333" s="9">
        <f>IF($A333="","",IF(ABS($F333)&lt;=0.02,"OK","REVISAR"))</f>
        <v/>
      </c>
      <c r="H333" s="9" t="n"/>
      <c r="I333" s="9" t="n"/>
      <c r="J333" s="9" t="n"/>
      <c r="K333" s="9" t="n"/>
      <c r="L333" s="9" t="n"/>
      <c r="M333" s="9">
        <f>IF($A333="","",IF(COUNTIFS($B$2:$B$1000,$B333,$C$2:$C$1000,$C333,$D$2:$D$1000,$D333,$H$2:$H$1000,$H333)&gt;1,"DUPLICADO",""))</f>
        <v/>
      </c>
    </row>
    <row r="334">
      <c r="A334" s="9" t="n"/>
      <c r="B334" s="30" t="n"/>
      <c r="C334" s="9" t="n"/>
      <c r="D334" s="24" t="n"/>
      <c r="E334" s="24">
        <f>IF($A334="","",ROUND(SUMIFS(Compras!$L$2:$L$5000,Compras!$A$2:$A$5000,$A334),2))</f>
        <v/>
      </c>
      <c r="F334" s="24">
        <f>IF($A334="","",ROUND($D334-$E334,2))</f>
        <v/>
      </c>
      <c r="G334" s="9">
        <f>IF($A334="","",IF(ABS($F334)&lt;=0.02,"OK","REVISAR"))</f>
        <v/>
      </c>
      <c r="H334" s="9" t="n"/>
      <c r="I334" s="9" t="n"/>
      <c r="J334" s="9" t="n"/>
      <c r="K334" s="9" t="n"/>
      <c r="L334" s="9" t="n"/>
      <c r="M334" s="9">
        <f>IF($A334="","",IF(COUNTIFS($B$2:$B$1000,$B334,$C$2:$C$1000,$C334,$D$2:$D$1000,$D334,$H$2:$H$1000,$H334)&gt;1,"DUPLICADO",""))</f>
        <v/>
      </c>
    </row>
    <row r="335">
      <c r="A335" s="9" t="n"/>
      <c r="B335" s="30" t="n"/>
      <c r="C335" s="9" t="n"/>
      <c r="D335" s="24" t="n"/>
      <c r="E335" s="24">
        <f>IF($A335="","",ROUND(SUMIFS(Compras!$L$2:$L$5000,Compras!$A$2:$A$5000,$A335),2))</f>
        <v/>
      </c>
      <c r="F335" s="24">
        <f>IF($A335="","",ROUND($D335-$E335,2))</f>
        <v/>
      </c>
      <c r="G335" s="9">
        <f>IF($A335="","",IF(ABS($F335)&lt;=0.02,"OK","REVISAR"))</f>
        <v/>
      </c>
      <c r="H335" s="9" t="n"/>
      <c r="I335" s="9" t="n"/>
      <c r="J335" s="9" t="n"/>
      <c r="K335" s="9" t="n"/>
      <c r="L335" s="9" t="n"/>
      <c r="M335" s="9">
        <f>IF($A335="","",IF(COUNTIFS($B$2:$B$1000,$B335,$C$2:$C$1000,$C335,$D$2:$D$1000,$D335,$H$2:$H$1000,$H335)&gt;1,"DUPLICADO",""))</f>
        <v/>
      </c>
    </row>
    <row r="336">
      <c r="A336" s="9" t="n"/>
      <c r="B336" s="30" t="n"/>
      <c r="C336" s="9" t="n"/>
      <c r="D336" s="24" t="n"/>
      <c r="E336" s="24">
        <f>IF($A336="","",ROUND(SUMIFS(Compras!$L$2:$L$5000,Compras!$A$2:$A$5000,$A336),2))</f>
        <v/>
      </c>
      <c r="F336" s="24">
        <f>IF($A336="","",ROUND($D336-$E336,2))</f>
        <v/>
      </c>
      <c r="G336" s="9">
        <f>IF($A336="","",IF(ABS($F336)&lt;=0.02,"OK","REVISAR"))</f>
        <v/>
      </c>
      <c r="H336" s="9" t="n"/>
      <c r="I336" s="9" t="n"/>
      <c r="J336" s="9" t="n"/>
      <c r="K336" s="9" t="n"/>
      <c r="L336" s="9" t="n"/>
      <c r="M336" s="9">
        <f>IF($A336="","",IF(COUNTIFS($B$2:$B$1000,$B336,$C$2:$C$1000,$C336,$D$2:$D$1000,$D336,$H$2:$H$1000,$H336)&gt;1,"DUPLICADO",""))</f>
        <v/>
      </c>
    </row>
    <row r="337">
      <c r="A337" s="9" t="n"/>
      <c r="B337" s="30" t="n"/>
      <c r="C337" s="9" t="n"/>
      <c r="D337" s="24" t="n"/>
      <c r="E337" s="24">
        <f>IF($A337="","",ROUND(SUMIFS(Compras!$L$2:$L$5000,Compras!$A$2:$A$5000,$A337),2))</f>
        <v/>
      </c>
      <c r="F337" s="24">
        <f>IF($A337="","",ROUND($D337-$E337,2))</f>
        <v/>
      </c>
      <c r="G337" s="9">
        <f>IF($A337="","",IF(ABS($F337)&lt;=0.02,"OK","REVISAR"))</f>
        <v/>
      </c>
      <c r="H337" s="9" t="n"/>
      <c r="I337" s="9" t="n"/>
      <c r="J337" s="9" t="n"/>
      <c r="K337" s="9" t="n"/>
      <c r="L337" s="9" t="n"/>
      <c r="M337" s="9">
        <f>IF($A337="","",IF(COUNTIFS($B$2:$B$1000,$B337,$C$2:$C$1000,$C337,$D$2:$D$1000,$D337,$H$2:$H$1000,$H337)&gt;1,"DUPLICADO",""))</f>
        <v/>
      </c>
    </row>
    <row r="338">
      <c r="A338" s="9" t="n"/>
      <c r="B338" s="30" t="n"/>
      <c r="C338" s="9" t="n"/>
      <c r="D338" s="24" t="n"/>
      <c r="E338" s="24">
        <f>IF($A338="","",ROUND(SUMIFS(Compras!$L$2:$L$5000,Compras!$A$2:$A$5000,$A338),2))</f>
        <v/>
      </c>
      <c r="F338" s="24">
        <f>IF($A338="","",ROUND($D338-$E338,2))</f>
        <v/>
      </c>
      <c r="G338" s="9">
        <f>IF($A338="","",IF(ABS($F338)&lt;=0.02,"OK","REVISAR"))</f>
        <v/>
      </c>
      <c r="H338" s="9" t="n"/>
      <c r="I338" s="9" t="n"/>
      <c r="J338" s="9" t="n"/>
      <c r="K338" s="9" t="n"/>
      <c r="L338" s="9" t="n"/>
      <c r="M338" s="9">
        <f>IF($A338="","",IF(COUNTIFS($B$2:$B$1000,$B338,$C$2:$C$1000,$C338,$D$2:$D$1000,$D338,$H$2:$H$1000,$H338)&gt;1,"DUPLICADO",""))</f>
        <v/>
      </c>
    </row>
    <row r="339">
      <c r="A339" s="9" t="n"/>
      <c r="B339" s="30" t="n"/>
      <c r="C339" s="9" t="n"/>
      <c r="D339" s="24" t="n"/>
      <c r="E339" s="24">
        <f>IF($A339="","",ROUND(SUMIFS(Compras!$L$2:$L$5000,Compras!$A$2:$A$5000,$A339),2))</f>
        <v/>
      </c>
      <c r="F339" s="24">
        <f>IF($A339="","",ROUND($D339-$E339,2))</f>
        <v/>
      </c>
      <c r="G339" s="9">
        <f>IF($A339="","",IF(ABS($F339)&lt;=0.02,"OK","REVISAR"))</f>
        <v/>
      </c>
      <c r="H339" s="9" t="n"/>
      <c r="I339" s="9" t="n"/>
      <c r="J339" s="9" t="n"/>
      <c r="K339" s="9" t="n"/>
      <c r="L339" s="9" t="n"/>
      <c r="M339" s="9">
        <f>IF($A339="","",IF(COUNTIFS($B$2:$B$1000,$B339,$C$2:$C$1000,$C339,$D$2:$D$1000,$D339,$H$2:$H$1000,$H339)&gt;1,"DUPLICADO",""))</f>
        <v/>
      </c>
    </row>
    <row r="340">
      <c r="A340" s="9" t="n"/>
      <c r="B340" s="30" t="n"/>
      <c r="C340" s="9" t="n"/>
      <c r="D340" s="24" t="n"/>
      <c r="E340" s="24">
        <f>IF($A340="","",ROUND(SUMIFS(Compras!$L$2:$L$5000,Compras!$A$2:$A$5000,$A340),2))</f>
        <v/>
      </c>
      <c r="F340" s="24">
        <f>IF($A340="","",ROUND($D340-$E340,2))</f>
        <v/>
      </c>
      <c r="G340" s="9">
        <f>IF($A340="","",IF(ABS($F340)&lt;=0.02,"OK","REVISAR"))</f>
        <v/>
      </c>
      <c r="H340" s="9" t="n"/>
      <c r="I340" s="9" t="n"/>
      <c r="J340" s="9" t="n"/>
      <c r="K340" s="9" t="n"/>
      <c r="L340" s="9" t="n"/>
      <c r="M340" s="9">
        <f>IF($A340="","",IF(COUNTIFS($B$2:$B$1000,$B340,$C$2:$C$1000,$C340,$D$2:$D$1000,$D340,$H$2:$H$1000,$H340)&gt;1,"DUPLICADO",""))</f>
        <v/>
      </c>
    </row>
    <row r="341">
      <c r="A341" s="9" t="n"/>
      <c r="B341" s="30" t="n"/>
      <c r="C341" s="9" t="n"/>
      <c r="D341" s="24" t="n"/>
      <c r="E341" s="24">
        <f>IF($A341="","",ROUND(SUMIFS(Compras!$L$2:$L$5000,Compras!$A$2:$A$5000,$A341),2))</f>
        <v/>
      </c>
      <c r="F341" s="24">
        <f>IF($A341="","",ROUND($D341-$E341,2))</f>
        <v/>
      </c>
      <c r="G341" s="9">
        <f>IF($A341="","",IF(ABS($F341)&lt;=0.02,"OK","REVISAR"))</f>
        <v/>
      </c>
      <c r="H341" s="9" t="n"/>
      <c r="I341" s="9" t="n"/>
      <c r="J341" s="9" t="n"/>
      <c r="K341" s="9" t="n"/>
      <c r="L341" s="9" t="n"/>
      <c r="M341" s="9">
        <f>IF($A341="","",IF(COUNTIFS($B$2:$B$1000,$B341,$C$2:$C$1000,$C341,$D$2:$D$1000,$D341,$H$2:$H$1000,$H341)&gt;1,"DUPLICADO",""))</f>
        <v/>
      </c>
    </row>
    <row r="342">
      <c r="A342" s="9" t="n"/>
      <c r="B342" s="30" t="n"/>
      <c r="C342" s="9" t="n"/>
      <c r="D342" s="24" t="n"/>
      <c r="E342" s="24">
        <f>IF($A342="","",ROUND(SUMIFS(Compras!$L$2:$L$5000,Compras!$A$2:$A$5000,$A342),2))</f>
        <v/>
      </c>
      <c r="F342" s="24">
        <f>IF($A342="","",ROUND($D342-$E342,2))</f>
        <v/>
      </c>
      <c r="G342" s="9">
        <f>IF($A342="","",IF(ABS($F342)&lt;=0.02,"OK","REVISAR"))</f>
        <v/>
      </c>
      <c r="H342" s="9" t="n"/>
      <c r="I342" s="9" t="n"/>
      <c r="J342" s="9" t="n"/>
      <c r="K342" s="9" t="n"/>
      <c r="L342" s="9" t="n"/>
      <c r="M342" s="9">
        <f>IF($A342="","",IF(COUNTIFS($B$2:$B$1000,$B342,$C$2:$C$1000,$C342,$D$2:$D$1000,$D342,$H$2:$H$1000,$H342)&gt;1,"DUPLICADO",""))</f>
        <v/>
      </c>
    </row>
    <row r="343">
      <c r="A343" s="9" t="n"/>
      <c r="B343" s="30" t="n"/>
      <c r="C343" s="9" t="n"/>
      <c r="D343" s="24" t="n"/>
      <c r="E343" s="24">
        <f>IF($A343="","",ROUND(SUMIFS(Compras!$L$2:$L$5000,Compras!$A$2:$A$5000,$A343),2))</f>
        <v/>
      </c>
      <c r="F343" s="24">
        <f>IF($A343="","",ROUND($D343-$E343,2))</f>
        <v/>
      </c>
      <c r="G343" s="9">
        <f>IF($A343="","",IF(ABS($F343)&lt;=0.02,"OK","REVISAR"))</f>
        <v/>
      </c>
      <c r="H343" s="9" t="n"/>
      <c r="I343" s="9" t="n"/>
      <c r="J343" s="9" t="n"/>
      <c r="K343" s="9" t="n"/>
      <c r="L343" s="9" t="n"/>
      <c r="M343" s="9">
        <f>IF($A343="","",IF(COUNTIFS($B$2:$B$1000,$B343,$C$2:$C$1000,$C343,$D$2:$D$1000,$D343,$H$2:$H$1000,$H343)&gt;1,"DUPLICADO",""))</f>
        <v/>
      </c>
    </row>
    <row r="344">
      <c r="A344" s="9" t="n"/>
      <c r="B344" s="30" t="n"/>
      <c r="C344" s="9" t="n"/>
      <c r="D344" s="24" t="n"/>
      <c r="E344" s="24">
        <f>IF($A344="","",ROUND(SUMIFS(Compras!$L$2:$L$5000,Compras!$A$2:$A$5000,$A344),2))</f>
        <v/>
      </c>
      <c r="F344" s="24">
        <f>IF($A344="","",ROUND($D344-$E344,2))</f>
        <v/>
      </c>
      <c r="G344" s="9">
        <f>IF($A344="","",IF(ABS($F344)&lt;=0.02,"OK","REVISAR"))</f>
        <v/>
      </c>
      <c r="H344" s="9" t="n"/>
      <c r="I344" s="9" t="n"/>
      <c r="J344" s="9" t="n"/>
      <c r="K344" s="9" t="n"/>
      <c r="L344" s="9" t="n"/>
      <c r="M344" s="9">
        <f>IF($A344="","",IF(COUNTIFS($B$2:$B$1000,$B344,$C$2:$C$1000,$C344,$D$2:$D$1000,$D344,$H$2:$H$1000,$H344)&gt;1,"DUPLICADO",""))</f>
        <v/>
      </c>
    </row>
    <row r="345">
      <c r="A345" s="9" t="n"/>
      <c r="B345" s="30" t="n"/>
      <c r="C345" s="9" t="n"/>
      <c r="D345" s="24" t="n"/>
      <c r="E345" s="24">
        <f>IF($A345="","",ROUND(SUMIFS(Compras!$L$2:$L$5000,Compras!$A$2:$A$5000,$A345),2))</f>
        <v/>
      </c>
      <c r="F345" s="24">
        <f>IF($A345="","",ROUND($D345-$E345,2))</f>
        <v/>
      </c>
      <c r="G345" s="9">
        <f>IF($A345="","",IF(ABS($F345)&lt;=0.02,"OK","REVISAR"))</f>
        <v/>
      </c>
      <c r="H345" s="9" t="n"/>
      <c r="I345" s="9" t="n"/>
      <c r="J345" s="9" t="n"/>
      <c r="K345" s="9" t="n"/>
      <c r="L345" s="9" t="n"/>
      <c r="M345" s="9">
        <f>IF($A345="","",IF(COUNTIFS($B$2:$B$1000,$B345,$C$2:$C$1000,$C345,$D$2:$D$1000,$D345,$H$2:$H$1000,$H345)&gt;1,"DUPLICADO",""))</f>
        <v/>
      </c>
    </row>
    <row r="346">
      <c r="A346" s="9" t="n"/>
      <c r="B346" s="30" t="n"/>
      <c r="C346" s="9" t="n"/>
      <c r="D346" s="24" t="n"/>
      <c r="E346" s="24">
        <f>IF($A346="","",ROUND(SUMIFS(Compras!$L$2:$L$5000,Compras!$A$2:$A$5000,$A346),2))</f>
        <v/>
      </c>
      <c r="F346" s="24">
        <f>IF($A346="","",ROUND($D346-$E346,2))</f>
        <v/>
      </c>
      <c r="G346" s="9">
        <f>IF($A346="","",IF(ABS($F346)&lt;=0.02,"OK","REVISAR"))</f>
        <v/>
      </c>
      <c r="H346" s="9" t="n"/>
      <c r="I346" s="9" t="n"/>
      <c r="J346" s="9" t="n"/>
      <c r="K346" s="9" t="n"/>
      <c r="L346" s="9" t="n"/>
      <c r="M346" s="9">
        <f>IF($A346="","",IF(COUNTIFS($B$2:$B$1000,$B346,$C$2:$C$1000,$C346,$D$2:$D$1000,$D346,$H$2:$H$1000,$H346)&gt;1,"DUPLICADO",""))</f>
        <v/>
      </c>
    </row>
    <row r="347">
      <c r="A347" s="9" t="n"/>
      <c r="B347" s="30" t="n"/>
      <c r="C347" s="9" t="n"/>
      <c r="D347" s="24" t="n"/>
      <c r="E347" s="24">
        <f>IF($A347="","",ROUND(SUMIFS(Compras!$L$2:$L$5000,Compras!$A$2:$A$5000,$A347),2))</f>
        <v/>
      </c>
      <c r="F347" s="24">
        <f>IF($A347="","",ROUND($D347-$E347,2))</f>
        <v/>
      </c>
      <c r="G347" s="9">
        <f>IF($A347="","",IF(ABS($F347)&lt;=0.02,"OK","REVISAR"))</f>
        <v/>
      </c>
      <c r="H347" s="9" t="n"/>
      <c r="I347" s="9" t="n"/>
      <c r="J347" s="9" t="n"/>
      <c r="K347" s="9" t="n"/>
      <c r="L347" s="9" t="n"/>
      <c r="M347" s="9">
        <f>IF($A347="","",IF(COUNTIFS($B$2:$B$1000,$B347,$C$2:$C$1000,$C347,$D$2:$D$1000,$D347,$H$2:$H$1000,$H347)&gt;1,"DUPLICADO",""))</f>
        <v/>
      </c>
    </row>
    <row r="348">
      <c r="A348" s="9" t="n"/>
      <c r="B348" s="30" t="n"/>
      <c r="C348" s="9" t="n"/>
      <c r="D348" s="24" t="n"/>
      <c r="E348" s="24">
        <f>IF($A348="","",ROUND(SUMIFS(Compras!$L$2:$L$5000,Compras!$A$2:$A$5000,$A348),2))</f>
        <v/>
      </c>
      <c r="F348" s="24">
        <f>IF($A348="","",ROUND($D348-$E348,2))</f>
        <v/>
      </c>
      <c r="G348" s="9">
        <f>IF($A348="","",IF(ABS($F348)&lt;=0.02,"OK","REVISAR"))</f>
        <v/>
      </c>
      <c r="H348" s="9" t="n"/>
      <c r="I348" s="9" t="n"/>
      <c r="J348" s="9" t="n"/>
      <c r="K348" s="9" t="n"/>
      <c r="L348" s="9" t="n"/>
      <c r="M348" s="9">
        <f>IF($A348="","",IF(COUNTIFS($B$2:$B$1000,$B348,$C$2:$C$1000,$C348,$D$2:$D$1000,$D348,$H$2:$H$1000,$H348)&gt;1,"DUPLICADO",""))</f>
        <v/>
      </c>
    </row>
    <row r="349">
      <c r="A349" s="9" t="n"/>
      <c r="B349" s="30" t="n"/>
      <c r="C349" s="9" t="n"/>
      <c r="D349" s="24" t="n"/>
      <c r="E349" s="24">
        <f>IF($A349="","",ROUND(SUMIFS(Compras!$L$2:$L$5000,Compras!$A$2:$A$5000,$A349),2))</f>
        <v/>
      </c>
      <c r="F349" s="24">
        <f>IF($A349="","",ROUND($D349-$E349,2))</f>
        <v/>
      </c>
      <c r="G349" s="9">
        <f>IF($A349="","",IF(ABS($F349)&lt;=0.02,"OK","REVISAR"))</f>
        <v/>
      </c>
      <c r="H349" s="9" t="n"/>
      <c r="I349" s="9" t="n"/>
      <c r="J349" s="9" t="n"/>
      <c r="K349" s="9" t="n"/>
      <c r="L349" s="9" t="n"/>
      <c r="M349" s="9">
        <f>IF($A349="","",IF(COUNTIFS($B$2:$B$1000,$B349,$C$2:$C$1000,$C349,$D$2:$D$1000,$D349,$H$2:$H$1000,$H349)&gt;1,"DUPLICADO",""))</f>
        <v/>
      </c>
    </row>
    <row r="350">
      <c r="A350" s="9" t="n"/>
      <c r="B350" s="30" t="n"/>
      <c r="C350" s="9" t="n"/>
      <c r="D350" s="24" t="n"/>
      <c r="E350" s="24">
        <f>IF($A350="","",ROUND(SUMIFS(Compras!$L$2:$L$5000,Compras!$A$2:$A$5000,$A350),2))</f>
        <v/>
      </c>
      <c r="F350" s="24">
        <f>IF($A350="","",ROUND($D350-$E350,2))</f>
        <v/>
      </c>
      <c r="G350" s="9">
        <f>IF($A350="","",IF(ABS($F350)&lt;=0.02,"OK","REVISAR"))</f>
        <v/>
      </c>
      <c r="H350" s="9" t="n"/>
      <c r="I350" s="9" t="n"/>
      <c r="J350" s="9" t="n"/>
      <c r="K350" s="9" t="n"/>
      <c r="L350" s="9" t="n"/>
      <c r="M350" s="9">
        <f>IF($A350="","",IF(COUNTIFS($B$2:$B$1000,$B350,$C$2:$C$1000,$C350,$D$2:$D$1000,$D350,$H$2:$H$1000,$H350)&gt;1,"DUPLICADO",""))</f>
        <v/>
      </c>
    </row>
    <row r="351">
      <c r="A351" s="9" t="n"/>
      <c r="B351" s="30" t="n"/>
      <c r="C351" s="9" t="n"/>
      <c r="D351" s="24" t="n"/>
      <c r="E351" s="24">
        <f>IF($A351="","",ROUND(SUMIFS(Compras!$L$2:$L$5000,Compras!$A$2:$A$5000,$A351),2))</f>
        <v/>
      </c>
      <c r="F351" s="24">
        <f>IF($A351="","",ROUND($D351-$E351,2))</f>
        <v/>
      </c>
      <c r="G351" s="9">
        <f>IF($A351="","",IF(ABS($F351)&lt;=0.02,"OK","REVISAR"))</f>
        <v/>
      </c>
      <c r="H351" s="9" t="n"/>
      <c r="I351" s="9" t="n"/>
      <c r="J351" s="9" t="n"/>
      <c r="K351" s="9" t="n"/>
      <c r="L351" s="9" t="n"/>
      <c r="M351" s="9">
        <f>IF($A351="","",IF(COUNTIFS($B$2:$B$1000,$B351,$C$2:$C$1000,$C351,$D$2:$D$1000,$D351,$H$2:$H$1000,$H351)&gt;1,"DUPLICADO",""))</f>
        <v/>
      </c>
    </row>
    <row r="352">
      <c r="A352" s="9" t="n"/>
      <c r="B352" s="30" t="n"/>
      <c r="C352" s="9" t="n"/>
      <c r="D352" s="24" t="n"/>
      <c r="E352" s="24">
        <f>IF($A352="","",ROUND(SUMIFS(Compras!$L$2:$L$5000,Compras!$A$2:$A$5000,$A352),2))</f>
        <v/>
      </c>
      <c r="F352" s="24">
        <f>IF($A352="","",ROUND($D352-$E352,2))</f>
        <v/>
      </c>
      <c r="G352" s="9">
        <f>IF($A352="","",IF(ABS($F352)&lt;=0.02,"OK","REVISAR"))</f>
        <v/>
      </c>
      <c r="H352" s="9" t="n"/>
      <c r="I352" s="9" t="n"/>
      <c r="J352" s="9" t="n"/>
      <c r="K352" s="9" t="n"/>
      <c r="L352" s="9" t="n"/>
      <c r="M352" s="9">
        <f>IF($A352="","",IF(COUNTIFS($B$2:$B$1000,$B352,$C$2:$C$1000,$C352,$D$2:$D$1000,$D352,$H$2:$H$1000,$H352)&gt;1,"DUPLICADO",""))</f>
        <v/>
      </c>
    </row>
    <row r="353">
      <c r="A353" s="9" t="n"/>
      <c r="B353" s="30" t="n"/>
      <c r="C353" s="9" t="n"/>
      <c r="D353" s="24" t="n"/>
      <c r="E353" s="24">
        <f>IF($A353="","",ROUND(SUMIFS(Compras!$L$2:$L$5000,Compras!$A$2:$A$5000,$A353),2))</f>
        <v/>
      </c>
      <c r="F353" s="24">
        <f>IF($A353="","",ROUND($D353-$E353,2))</f>
        <v/>
      </c>
      <c r="G353" s="9">
        <f>IF($A353="","",IF(ABS($F353)&lt;=0.02,"OK","REVISAR"))</f>
        <v/>
      </c>
      <c r="H353" s="9" t="n"/>
      <c r="I353" s="9" t="n"/>
      <c r="J353" s="9" t="n"/>
      <c r="K353" s="9" t="n"/>
      <c r="L353" s="9" t="n"/>
      <c r="M353" s="9">
        <f>IF($A353="","",IF(COUNTIFS($B$2:$B$1000,$B353,$C$2:$C$1000,$C353,$D$2:$D$1000,$D353,$H$2:$H$1000,$H353)&gt;1,"DUPLICADO",""))</f>
        <v/>
      </c>
    </row>
    <row r="354">
      <c r="A354" s="9" t="n"/>
      <c r="B354" s="30" t="n"/>
      <c r="C354" s="9" t="n"/>
      <c r="D354" s="24" t="n"/>
      <c r="E354" s="24">
        <f>IF($A354="","",ROUND(SUMIFS(Compras!$L$2:$L$5000,Compras!$A$2:$A$5000,$A354),2))</f>
        <v/>
      </c>
      <c r="F354" s="24">
        <f>IF($A354="","",ROUND($D354-$E354,2))</f>
        <v/>
      </c>
      <c r="G354" s="9">
        <f>IF($A354="","",IF(ABS($F354)&lt;=0.02,"OK","REVISAR"))</f>
        <v/>
      </c>
      <c r="H354" s="9" t="n"/>
      <c r="I354" s="9" t="n"/>
      <c r="J354" s="9" t="n"/>
      <c r="K354" s="9" t="n"/>
      <c r="L354" s="9" t="n"/>
      <c r="M354" s="9">
        <f>IF($A354="","",IF(COUNTIFS($B$2:$B$1000,$B354,$C$2:$C$1000,$C354,$D$2:$D$1000,$D354,$H$2:$H$1000,$H354)&gt;1,"DUPLICADO",""))</f>
        <v/>
      </c>
    </row>
    <row r="355">
      <c r="A355" s="9" t="n"/>
      <c r="B355" s="30" t="n"/>
      <c r="C355" s="9" t="n"/>
      <c r="D355" s="24" t="n"/>
      <c r="E355" s="24">
        <f>IF($A355="","",ROUND(SUMIFS(Compras!$L$2:$L$5000,Compras!$A$2:$A$5000,$A355),2))</f>
        <v/>
      </c>
      <c r="F355" s="24">
        <f>IF($A355="","",ROUND($D355-$E355,2))</f>
        <v/>
      </c>
      <c r="G355" s="9">
        <f>IF($A355="","",IF(ABS($F355)&lt;=0.02,"OK","REVISAR"))</f>
        <v/>
      </c>
      <c r="H355" s="9" t="n"/>
      <c r="I355" s="9" t="n"/>
      <c r="J355" s="9" t="n"/>
      <c r="K355" s="9" t="n"/>
      <c r="L355" s="9" t="n"/>
      <c r="M355" s="9">
        <f>IF($A355="","",IF(COUNTIFS($B$2:$B$1000,$B355,$C$2:$C$1000,$C355,$D$2:$D$1000,$D355,$H$2:$H$1000,$H355)&gt;1,"DUPLICADO",""))</f>
        <v/>
      </c>
    </row>
    <row r="356">
      <c r="A356" s="9" t="n"/>
      <c r="B356" s="30" t="n"/>
      <c r="C356" s="9" t="n"/>
      <c r="D356" s="24" t="n"/>
      <c r="E356" s="24">
        <f>IF($A356="","",ROUND(SUMIFS(Compras!$L$2:$L$5000,Compras!$A$2:$A$5000,$A356),2))</f>
        <v/>
      </c>
      <c r="F356" s="24">
        <f>IF($A356="","",ROUND($D356-$E356,2))</f>
        <v/>
      </c>
      <c r="G356" s="9">
        <f>IF($A356="","",IF(ABS($F356)&lt;=0.02,"OK","REVISAR"))</f>
        <v/>
      </c>
      <c r="H356" s="9" t="n"/>
      <c r="I356" s="9" t="n"/>
      <c r="J356" s="9" t="n"/>
      <c r="K356" s="9" t="n"/>
      <c r="L356" s="9" t="n"/>
      <c r="M356" s="9">
        <f>IF($A356="","",IF(COUNTIFS($B$2:$B$1000,$B356,$C$2:$C$1000,$C356,$D$2:$D$1000,$D356,$H$2:$H$1000,$H356)&gt;1,"DUPLICADO",""))</f>
        <v/>
      </c>
    </row>
    <row r="357">
      <c r="A357" s="9" t="n"/>
      <c r="B357" s="30" t="n"/>
      <c r="C357" s="9" t="n"/>
      <c r="D357" s="24" t="n"/>
      <c r="E357" s="24">
        <f>IF($A357="","",ROUND(SUMIFS(Compras!$L$2:$L$5000,Compras!$A$2:$A$5000,$A357),2))</f>
        <v/>
      </c>
      <c r="F357" s="24">
        <f>IF($A357="","",ROUND($D357-$E357,2))</f>
        <v/>
      </c>
      <c r="G357" s="9">
        <f>IF($A357="","",IF(ABS($F357)&lt;=0.02,"OK","REVISAR"))</f>
        <v/>
      </c>
      <c r="H357" s="9" t="n"/>
      <c r="I357" s="9" t="n"/>
      <c r="J357" s="9" t="n"/>
      <c r="K357" s="9" t="n"/>
      <c r="L357" s="9" t="n"/>
      <c r="M357" s="9">
        <f>IF($A357="","",IF(COUNTIFS($B$2:$B$1000,$B357,$C$2:$C$1000,$C357,$D$2:$D$1000,$D357,$H$2:$H$1000,$H357)&gt;1,"DUPLICADO",""))</f>
        <v/>
      </c>
    </row>
    <row r="358">
      <c r="A358" s="9" t="n"/>
      <c r="B358" s="30" t="n"/>
      <c r="C358" s="9" t="n"/>
      <c r="D358" s="24" t="n"/>
      <c r="E358" s="24">
        <f>IF($A358="","",ROUND(SUMIFS(Compras!$L$2:$L$5000,Compras!$A$2:$A$5000,$A358),2))</f>
        <v/>
      </c>
      <c r="F358" s="24">
        <f>IF($A358="","",ROUND($D358-$E358,2))</f>
        <v/>
      </c>
      <c r="G358" s="9">
        <f>IF($A358="","",IF(ABS($F358)&lt;=0.02,"OK","REVISAR"))</f>
        <v/>
      </c>
      <c r="H358" s="9" t="n"/>
      <c r="I358" s="9" t="n"/>
      <c r="J358" s="9" t="n"/>
      <c r="K358" s="9" t="n"/>
      <c r="L358" s="9" t="n"/>
      <c r="M358" s="9">
        <f>IF($A358="","",IF(COUNTIFS($B$2:$B$1000,$B358,$C$2:$C$1000,$C358,$D$2:$D$1000,$D358,$H$2:$H$1000,$H358)&gt;1,"DUPLICADO",""))</f>
        <v/>
      </c>
    </row>
    <row r="359">
      <c r="A359" s="9" t="n"/>
      <c r="B359" s="30" t="n"/>
      <c r="C359" s="9" t="n"/>
      <c r="D359" s="24" t="n"/>
      <c r="E359" s="24">
        <f>IF($A359="","",ROUND(SUMIFS(Compras!$L$2:$L$5000,Compras!$A$2:$A$5000,$A359),2))</f>
        <v/>
      </c>
      <c r="F359" s="24">
        <f>IF($A359="","",ROUND($D359-$E359,2))</f>
        <v/>
      </c>
      <c r="G359" s="9">
        <f>IF($A359="","",IF(ABS($F359)&lt;=0.02,"OK","REVISAR"))</f>
        <v/>
      </c>
      <c r="H359" s="9" t="n"/>
      <c r="I359" s="9" t="n"/>
      <c r="J359" s="9" t="n"/>
      <c r="K359" s="9" t="n"/>
      <c r="L359" s="9" t="n"/>
      <c r="M359" s="9">
        <f>IF($A359="","",IF(COUNTIFS($B$2:$B$1000,$B359,$C$2:$C$1000,$C359,$D$2:$D$1000,$D359,$H$2:$H$1000,$H359)&gt;1,"DUPLICADO",""))</f>
        <v/>
      </c>
    </row>
    <row r="360">
      <c r="A360" s="9" t="n"/>
      <c r="B360" s="30" t="n"/>
      <c r="C360" s="9" t="n"/>
      <c r="D360" s="24" t="n"/>
      <c r="E360" s="24">
        <f>IF($A360="","",ROUND(SUMIFS(Compras!$L$2:$L$5000,Compras!$A$2:$A$5000,$A360),2))</f>
        <v/>
      </c>
      <c r="F360" s="24">
        <f>IF($A360="","",ROUND($D360-$E360,2))</f>
        <v/>
      </c>
      <c r="G360" s="9">
        <f>IF($A360="","",IF(ABS($F360)&lt;=0.02,"OK","REVISAR"))</f>
        <v/>
      </c>
      <c r="H360" s="9" t="n"/>
      <c r="I360" s="9" t="n"/>
      <c r="J360" s="9" t="n"/>
      <c r="K360" s="9" t="n"/>
      <c r="L360" s="9" t="n"/>
      <c r="M360" s="9">
        <f>IF($A360="","",IF(COUNTIFS($B$2:$B$1000,$B360,$C$2:$C$1000,$C360,$D$2:$D$1000,$D360,$H$2:$H$1000,$H360)&gt;1,"DUPLICADO",""))</f>
        <v/>
      </c>
    </row>
    <row r="361">
      <c r="A361" s="9" t="n"/>
      <c r="B361" s="30" t="n"/>
      <c r="C361" s="9" t="n"/>
      <c r="D361" s="24" t="n"/>
      <c r="E361" s="24">
        <f>IF($A361="","",ROUND(SUMIFS(Compras!$L$2:$L$5000,Compras!$A$2:$A$5000,$A361),2))</f>
        <v/>
      </c>
      <c r="F361" s="24">
        <f>IF($A361="","",ROUND($D361-$E361,2))</f>
        <v/>
      </c>
      <c r="G361" s="9">
        <f>IF($A361="","",IF(ABS($F361)&lt;=0.02,"OK","REVISAR"))</f>
        <v/>
      </c>
      <c r="H361" s="9" t="n"/>
      <c r="I361" s="9" t="n"/>
      <c r="J361" s="9" t="n"/>
      <c r="K361" s="9" t="n"/>
      <c r="L361" s="9" t="n"/>
      <c r="M361" s="9">
        <f>IF($A361="","",IF(COUNTIFS($B$2:$B$1000,$B361,$C$2:$C$1000,$C361,$D$2:$D$1000,$D361,$H$2:$H$1000,$H361)&gt;1,"DUPLICADO",""))</f>
        <v/>
      </c>
    </row>
    <row r="362">
      <c r="A362" s="9" t="n"/>
      <c r="B362" s="30" t="n"/>
      <c r="C362" s="9" t="n"/>
      <c r="D362" s="24" t="n"/>
      <c r="E362" s="24">
        <f>IF($A362="","",ROUND(SUMIFS(Compras!$L$2:$L$5000,Compras!$A$2:$A$5000,$A362),2))</f>
        <v/>
      </c>
      <c r="F362" s="24">
        <f>IF($A362="","",ROUND($D362-$E362,2))</f>
        <v/>
      </c>
      <c r="G362" s="9">
        <f>IF($A362="","",IF(ABS($F362)&lt;=0.02,"OK","REVISAR"))</f>
        <v/>
      </c>
      <c r="H362" s="9" t="n"/>
      <c r="I362" s="9" t="n"/>
      <c r="J362" s="9" t="n"/>
      <c r="K362" s="9" t="n"/>
      <c r="L362" s="9" t="n"/>
      <c r="M362" s="9">
        <f>IF($A362="","",IF(COUNTIFS($B$2:$B$1000,$B362,$C$2:$C$1000,$C362,$D$2:$D$1000,$D362,$H$2:$H$1000,$H362)&gt;1,"DUPLICADO",""))</f>
        <v/>
      </c>
    </row>
    <row r="363">
      <c r="A363" s="9" t="n"/>
      <c r="B363" s="30" t="n"/>
      <c r="C363" s="9" t="n"/>
      <c r="D363" s="24" t="n"/>
      <c r="E363" s="24">
        <f>IF($A363="","",ROUND(SUMIFS(Compras!$L$2:$L$5000,Compras!$A$2:$A$5000,$A363),2))</f>
        <v/>
      </c>
      <c r="F363" s="24">
        <f>IF($A363="","",ROUND($D363-$E363,2))</f>
        <v/>
      </c>
      <c r="G363" s="9">
        <f>IF($A363="","",IF(ABS($F363)&lt;=0.02,"OK","REVISAR"))</f>
        <v/>
      </c>
      <c r="H363" s="9" t="n"/>
      <c r="I363" s="9" t="n"/>
      <c r="J363" s="9" t="n"/>
      <c r="K363" s="9" t="n"/>
      <c r="L363" s="9" t="n"/>
      <c r="M363" s="9">
        <f>IF($A363="","",IF(COUNTIFS($B$2:$B$1000,$B363,$C$2:$C$1000,$C363,$D$2:$D$1000,$D363,$H$2:$H$1000,$H363)&gt;1,"DUPLICADO",""))</f>
        <v/>
      </c>
    </row>
    <row r="364">
      <c r="A364" s="9" t="n"/>
      <c r="B364" s="30" t="n"/>
      <c r="C364" s="9" t="n"/>
      <c r="D364" s="24" t="n"/>
      <c r="E364" s="24">
        <f>IF($A364="","",ROUND(SUMIFS(Compras!$L$2:$L$5000,Compras!$A$2:$A$5000,$A364),2))</f>
        <v/>
      </c>
      <c r="F364" s="24">
        <f>IF($A364="","",ROUND($D364-$E364,2))</f>
        <v/>
      </c>
      <c r="G364" s="9">
        <f>IF($A364="","",IF(ABS($F364)&lt;=0.02,"OK","REVISAR"))</f>
        <v/>
      </c>
      <c r="H364" s="9" t="n"/>
      <c r="I364" s="9" t="n"/>
      <c r="J364" s="9" t="n"/>
      <c r="K364" s="9" t="n"/>
      <c r="L364" s="9" t="n"/>
      <c r="M364" s="9">
        <f>IF($A364="","",IF(COUNTIFS($B$2:$B$1000,$B364,$C$2:$C$1000,$C364,$D$2:$D$1000,$D364,$H$2:$H$1000,$H364)&gt;1,"DUPLICADO",""))</f>
        <v/>
      </c>
    </row>
    <row r="365">
      <c r="A365" s="9" t="n"/>
      <c r="B365" s="30" t="n"/>
      <c r="C365" s="9" t="n"/>
      <c r="D365" s="24" t="n"/>
      <c r="E365" s="24">
        <f>IF($A365="","",ROUND(SUMIFS(Compras!$L$2:$L$5000,Compras!$A$2:$A$5000,$A365),2))</f>
        <v/>
      </c>
      <c r="F365" s="24">
        <f>IF($A365="","",ROUND($D365-$E365,2))</f>
        <v/>
      </c>
      <c r="G365" s="9">
        <f>IF($A365="","",IF(ABS($F365)&lt;=0.02,"OK","REVISAR"))</f>
        <v/>
      </c>
      <c r="H365" s="9" t="n"/>
      <c r="I365" s="9" t="n"/>
      <c r="J365" s="9" t="n"/>
      <c r="K365" s="9" t="n"/>
      <c r="L365" s="9" t="n"/>
      <c r="M365" s="9">
        <f>IF($A365="","",IF(COUNTIFS($B$2:$B$1000,$B365,$C$2:$C$1000,$C365,$D$2:$D$1000,$D365,$H$2:$H$1000,$H365)&gt;1,"DUPLICADO",""))</f>
        <v/>
      </c>
    </row>
    <row r="366">
      <c r="A366" s="9" t="n"/>
      <c r="B366" s="30" t="n"/>
      <c r="C366" s="9" t="n"/>
      <c r="D366" s="24" t="n"/>
      <c r="E366" s="24">
        <f>IF($A366="","",ROUND(SUMIFS(Compras!$L$2:$L$5000,Compras!$A$2:$A$5000,$A366),2))</f>
        <v/>
      </c>
      <c r="F366" s="24">
        <f>IF($A366="","",ROUND($D366-$E366,2))</f>
        <v/>
      </c>
      <c r="G366" s="9">
        <f>IF($A366="","",IF(ABS($F366)&lt;=0.02,"OK","REVISAR"))</f>
        <v/>
      </c>
      <c r="H366" s="9" t="n"/>
      <c r="I366" s="9" t="n"/>
      <c r="J366" s="9" t="n"/>
      <c r="K366" s="9" t="n"/>
      <c r="L366" s="9" t="n"/>
      <c r="M366" s="9">
        <f>IF($A366="","",IF(COUNTIFS($B$2:$B$1000,$B366,$C$2:$C$1000,$C366,$D$2:$D$1000,$D366,$H$2:$H$1000,$H366)&gt;1,"DUPLICADO",""))</f>
        <v/>
      </c>
    </row>
    <row r="367">
      <c r="A367" s="9" t="n"/>
      <c r="B367" s="30" t="n"/>
      <c r="C367" s="9" t="n"/>
      <c r="D367" s="24" t="n"/>
      <c r="E367" s="24">
        <f>IF($A367="","",ROUND(SUMIFS(Compras!$L$2:$L$5000,Compras!$A$2:$A$5000,$A367),2))</f>
        <v/>
      </c>
      <c r="F367" s="24">
        <f>IF($A367="","",ROUND($D367-$E367,2))</f>
        <v/>
      </c>
      <c r="G367" s="9">
        <f>IF($A367="","",IF(ABS($F367)&lt;=0.02,"OK","REVISAR"))</f>
        <v/>
      </c>
      <c r="H367" s="9" t="n"/>
      <c r="I367" s="9" t="n"/>
      <c r="J367" s="9" t="n"/>
      <c r="K367" s="9" t="n"/>
      <c r="L367" s="9" t="n"/>
      <c r="M367" s="9">
        <f>IF($A367="","",IF(COUNTIFS($B$2:$B$1000,$B367,$C$2:$C$1000,$C367,$D$2:$D$1000,$D367,$H$2:$H$1000,$H367)&gt;1,"DUPLICADO",""))</f>
        <v/>
      </c>
    </row>
    <row r="368">
      <c r="A368" s="9" t="n"/>
      <c r="B368" s="30" t="n"/>
      <c r="C368" s="9" t="n"/>
      <c r="D368" s="24" t="n"/>
      <c r="E368" s="24">
        <f>IF($A368="","",ROUND(SUMIFS(Compras!$L$2:$L$5000,Compras!$A$2:$A$5000,$A368),2))</f>
        <v/>
      </c>
      <c r="F368" s="24">
        <f>IF($A368="","",ROUND($D368-$E368,2))</f>
        <v/>
      </c>
      <c r="G368" s="9">
        <f>IF($A368="","",IF(ABS($F368)&lt;=0.02,"OK","REVISAR"))</f>
        <v/>
      </c>
      <c r="H368" s="9" t="n"/>
      <c r="I368" s="9" t="n"/>
      <c r="J368" s="9" t="n"/>
      <c r="K368" s="9" t="n"/>
      <c r="L368" s="9" t="n"/>
      <c r="M368" s="9">
        <f>IF($A368="","",IF(COUNTIFS($B$2:$B$1000,$B368,$C$2:$C$1000,$C368,$D$2:$D$1000,$D368,$H$2:$H$1000,$H368)&gt;1,"DUPLICADO",""))</f>
        <v/>
      </c>
    </row>
    <row r="369">
      <c r="A369" s="9" t="n"/>
      <c r="B369" s="30" t="n"/>
      <c r="C369" s="9" t="n"/>
      <c r="D369" s="24" t="n"/>
      <c r="E369" s="24">
        <f>IF($A369="","",ROUND(SUMIFS(Compras!$L$2:$L$5000,Compras!$A$2:$A$5000,$A369),2))</f>
        <v/>
      </c>
      <c r="F369" s="24">
        <f>IF($A369="","",ROUND($D369-$E369,2))</f>
        <v/>
      </c>
      <c r="G369" s="9">
        <f>IF($A369="","",IF(ABS($F369)&lt;=0.02,"OK","REVISAR"))</f>
        <v/>
      </c>
      <c r="H369" s="9" t="n"/>
      <c r="I369" s="9" t="n"/>
      <c r="J369" s="9" t="n"/>
      <c r="K369" s="9" t="n"/>
      <c r="L369" s="9" t="n"/>
      <c r="M369" s="9">
        <f>IF($A369="","",IF(COUNTIFS($B$2:$B$1000,$B369,$C$2:$C$1000,$C369,$D$2:$D$1000,$D369,$H$2:$H$1000,$H369)&gt;1,"DUPLICADO",""))</f>
        <v/>
      </c>
    </row>
    <row r="370">
      <c r="A370" s="9" t="n"/>
      <c r="B370" s="30" t="n"/>
      <c r="C370" s="9" t="n"/>
      <c r="D370" s="24" t="n"/>
      <c r="E370" s="24">
        <f>IF($A370="","",ROUND(SUMIFS(Compras!$L$2:$L$5000,Compras!$A$2:$A$5000,$A370),2))</f>
        <v/>
      </c>
      <c r="F370" s="24">
        <f>IF($A370="","",ROUND($D370-$E370,2))</f>
        <v/>
      </c>
      <c r="G370" s="9">
        <f>IF($A370="","",IF(ABS($F370)&lt;=0.02,"OK","REVISAR"))</f>
        <v/>
      </c>
      <c r="H370" s="9" t="n"/>
      <c r="I370" s="9" t="n"/>
      <c r="J370" s="9" t="n"/>
      <c r="K370" s="9" t="n"/>
      <c r="L370" s="9" t="n"/>
      <c r="M370" s="9">
        <f>IF($A370="","",IF(COUNTIFS($B$2:$B$1000,$B370,$C$2:$C$1000,$C370,$D$2:$D$1000,$D370,$H$2:$H$1000,$H370)&gt;1,"DUPLICADO",""))</f>
        <v/>
      </c>
    </row>
    <row r="371">
      <c r="A371" s="9" t="n"/>
      <c r="B371" s="30" t="n"/>
      <c r="C371" s="9" t="n"/>
      <c r="D371" s="24" t="n"/>
      <c r="E371" s="24">
        <f>IF($A371="","",ROUND(SUMIFS(Compras!$L$2:$L$5000,Compras!$A$2:$A$5000,$A371),2))</f>
        <v/>
      </c>
      <c r="F371" s="24">
        <f>IF($A371="","",ROUND($D371-$E371,2))</f>
        <v/>
      </c>
      <c r="G371" s="9">
        <f>IF($A371="","",IF(ABS($F371)&lt;=0.02,"OK","REVISAR"))</f>
        <v/>
      </c>
      <c r="H371" s="9" t="n"/>
      <c r="I371" s="9" t="n"/>
      <c r="J371" s="9" t="n"/>
      <c r="K371" s="9" t="n"/>
      <c r="L371" s="9" t="n"/>
      <c r="M371" s="9">
        <f>IF($A371="","",IF(COUNTIFS($B$2:$B$1000,$B371,$C$2:$C$1000,$C371,$D$2:$D$1000,$D371,$H$2:$H$1000,$H371)&gt;1,"DUPLICADO",""))</f>
        <v/>
      </c>
    </row>
    <row r="372">
      <c r="A372" s="9" t="n"/>
      <c r="B372" s="30" t="n"/>
      <c r="C372" s="9" t="n"/>
      <c r="D372" s="24" t="n"/>
      <c r="E372" s="24">
        <f>IF($A372="","",ROUND(SUMIFS(Compras!$L$2:$L$5000,Compras!$A$2:$A$5000,$A372),2))</f>
        <v/>
      </c>
      <c r="F372" s="24">
        <f>IF($A372="","",ROUND($D372-$E372,2))</f>
        <v/>
      </c>
      <c r="G372" s="9">
        <f>IF($A372="","",IF(ABS($F372)&lt;=0.02,"OK","REVISAR"))</f>
        <v/>
      </c>
      <c r="H372" s="9" t="n"/>
      <c r="I372" s="9" t="n"/>
      <c r="J372" s="9" t="n"/>
      <c r="K372" s="9" t="n"/>
      <c r="L372" s="9" t="n"/>
      <c r="M372" s="9">
        <f>IF($A372="","",IF(COUNTIFS($B$2:$B$1000,$B372,$C$2:$C$1000,$C372,$D$2:$D$1000,$D372,$H$2:$H$1000,$H372)&gt;1,"DUPLICADO",""))</f>
        <v/>
      </c>
    </row>
    <row r="373">
      <c r="A373" s="9" t="n"/>
      <c r="B373" s="30" t="n"/>
      <c r="C373" s="9" t="n"/>
      <c r="D373" s="24" t="n"/>
      <c r="E373" s="24">
        <f>IF($A373="","",ROUND(SUMIFS(Compras!$L$2:$L$5000,Compras!$A$2:$A$5000,$A373),2))</f>
        <v/>
      </c>
      <c r="F373" s="24">
        <f>IF($A373="","",ROUND($D373-$E373,2))</f>
        <v/>
      </c>
      <c r="G373" s="9">
        <f>IF($A373="","",IF(ABS($F373)&lt;=0.02,"OK","REVISAR"))</f>
        <v/>
      </c>
      <c r="H373" s="9" t="n"/>
      <c r="I373" s="9" t="n"/>
      <c r="J373" s="9" t="n"/>
      <c r="K373" s="9" t="n"/>
      <c r="L373" s="9" t="n"/>
      <c r="M373" s="9">
        <f>IF($A373="","",IF(COUNTIFS($B$2:$B$1000,$B373,$C$2:$C$1000,$C373,$D$2:$D$1000,$D373,$H$2:$H$1000,$H373)&gt;1,"DUPLICADO",""))</f>
        <v/>
      </c>
    </row>
    <row r="374">
      <c r="A374" s="9" t="n"/>
      <c r="B374" s="30" t="n"/>
      <c r="C374" s="9" t="n"/>
      <c r="D374" s="24" t="n"/>
      <c r="E374" s="24">
        <f>IF($A374="","",ROUND(SUMIFS(Compras!$L$2:$L$5000,Compras!$A$2:$A$5000,$A374),2))</f>
        <v/>
      </c>
      <c r="F374" s="24">
        <f>IF($A374="","",ROUND($D374-$E374,2))</f>
        <v/>
      </c>
      <c r="G374" s="9">
        <f>IF($A374="","",IF(ABS($F374)&lt;=0.02,"OK","REVISAR"))</f>
        <v/>
      </c>
      <c r="H374" s="9" t="n"/>
      <c r="I374" s="9" t="n"/>
      <c r="J374" s="9" t="n"/>
      <c r="K374" s="9" t="n"/>
      <c r="L374" s="9" t="n"/>
      <c r="M374" s="9">
        <f>IF($A374="","",IF(COUNTIFS($B$2:$B$1000,$B374,$C$2:$C$1000,$C374,$D$2:$D$1000,$D374,$H$2:$H$1000,$H374)&gt;1,"DUPLICADO",""))</f>
        <v/>
      </c>
    </row>
    <row r="375">
      <c r="A375" s="9" t="n"/>
      <c r="B375" s="30" t="n"/>
      <c r="C375" s="9" t="n"/>
      <c r="D375" s="24" t="n"/>
      <c r="E375" s="24">
        <f>IF($A375="","",ROUND(SUMIFS(Compras!$L$2:$L$5000,Compras!$A$2:$A$5000,$A375),2))</f>
        <v/>
      </c>
      <c r="F375" s="24">
        <f>IF($A375="","",ROUND($D375-$E375,2))</f>
        <v/>
      </c>
      <c r="G375" s="9">
        <f>IF($A375="","",IF(ABS($F375)&lt;=0.02,"OK","REVISAR"))</f>
        <v/>
      </c>
      <c r="H375" s="9" t="n"/>
      <c r="I375" s="9" t="n"/>
      <c r="J375" s="9" t="n"/>
      <c r="K375" s="9" t="n"/>
      <c r="L375" s="9" t="n"/>
      <c r="M375" s="9">
        <f>IF($A375="","",IF(COUNTIFS($B$2:$B$1000,$B375,$C$2:$C$1000,$C375,$D$2:$D$1000,$D375,$H$2:$H$1000,$H375)&gt;1,"DUPLICADO",""))</f>
        <v/>
      </c>
    </row>
    <row r="376">
      <c r="A376" s="9" t="n"/>
      <c r="B376" s="30" t="n"/>
      <c r="C376" s="9" t="n"/>
      <c r="D376" s="24" t="n"/>
      <c r="E376" s="24">
        <f>IF($A376="","",ROUND(SUMIFS(Compras!$L$2:$L$5000,Compras!$A$2:$A$5000,$A376),2))</f>
        <v/>
      </c>
      <c r="F376" s="24">
        <f>IF($A376="","",ROUND($D376-$E376,2))</f>
        <v/>
      </c>
      <c r="G376" s="9">
        <f>IF($A376="","",IF(ABS($F376)&lt;=0.02,"OK","REVISAR"))</f>
        <v/>
      </c>
      <c r="H376" s="9" t="n"/>
      <c r="I376" s="9" t="n"/>
      <c r="J376" s="9" t="n"/>
      <c r="K376" s="9" t="n"/>
      <c r="L376" s="9" t="n"/>
      <c r="M376" s="9">
        <f>IF($A376="","",IF(COUNTIFS($B$2:$B$1000,$B376,$C$2:$C$1000,$C376,$D$2:$D$1000,$D376,$H$2:$H$1000,$H376)&gt;1,"DUPLICADO",""))</f>
        <v/>
      </c>
    </row>
    <row r="377">
      <c r="A377" s="9" t="n"/>
      <c r="B377" s="30" t="n"/>
      <c r="C377" s="9" t="n"/>
      <c r="D377" s="24" t="n"/>
      <c r="E377" s="24">
        <f>IF($A377="","",ROUND(SUMIFS(Compras!$L$2:$L$5000,Compras!$A$2:$A$5000,$A377),2))</f>
        <v/>
      </c>
      <c r="F377" s="24">
        <f>IF($A377="","",ROUND($D377-$E377,2))</f>
        <v/>
      </c>
      <c r="G377" s="9">
        <f>IF($A377="","",IF(ABS($F377)&lt;=0.02,"OK","REVISAR"))</f>
        <v/>
      </c>
      <c r="H377" s="9" t="n"/>
      <c r="I377" s="9" t="n"/>
      <c r="J377" s="9" t="n"/>
      <c r="K377" s="9" t="n"/>
      <c r="L377" s="9" t="n"/>
      <c r="M377" s="9">
        <f>IF($A377="","",IF(COUNTIFS($B$2:$B$1000,$B377,$C$2:$C$1000,$C377,$D$2:$D$1000,$D377,$H$2:$H$1000,$H377)&gt;1,"DUPLICADO",""))</f>
        <v/>
      </c>
    </row>
    <row r="378">
      <c r="A378" s="9" t="n"/>
      <c r="B378" s="30" t="n"/>
      <c r="C378" s="9" t="n"/>
      <c r="D378" s="24" t="n"/>
      <c r="E378" s="24">
        <f>IF($A378="","",ROUND(SUMIFS(Compras!$L$2:$L$5000,Compras!$A$2:$A$5000,$A378),2))</f>
        <v/>
      </c>
      <c r="F378" s="24">
        <f>IF($A378="","",ROUND($D378-$E378,2))</f>
        <v/>
      </c>
      <c r="G378" s="9">
        <f>IF($A378="","",IF(ABS($F378)&lt;=0.02,"OK","REVISAR"))</f>
        <v/>
      </c>
      <c r="H378" s="9" t="n"/>
      <c r="I378" s="9" t="n"/>
      <c r="J378" s="9" t="n"/>
      <c r="K378" s="9" t="n"/>
      <c r="L378" s="9" t="n"/>
      <c r="M378" s="9">
        <f>IF($A378="","",IF(COUNTIFS($B$2:$B$1000,$B378,$C$2:$C$1000,$C378,$D$2:$D$1000,$D378,$H$2:$H$1000,$H378)&gt;1,"DUPLICADO",""))</f>
        <v/>
      </c>
    </row>
    <row r="379">
      <c r="A379" s="9" t="n"/>
      <c r="B379" s="30" t="n"/>
      <c r="C379" s="9" t="n"/>
      <c r="D379" s="24" t="n"/>
      <c r="E379" s="24">
        <f>IF($A379="","",ROUND(SUMIFS(Compras!$L$2:$L$5000,Compras!$A$2:$A$5000,$A379),2))</f>
        <v/>
      </c>
      <c r="F379" s="24">
        <f>IF($A379="","",ROUND($D379-$E379,2))</f>
        <v/>
      </c>
      <c r="G379" s="9">
        <f>IF($A379="","",IF(ABS($F379)&lt;=0.02,"OK","REVISAR"))</f>
        <v/>
      </c>
      <c r="H379" s="9" t="n"/>
      <c r="I379" s="9" t="n"/>
      <c r="J379" s="9" t="n"/>
      <c r="K379" s="9" t="n"/>
      <c r="L379" s="9" t="n"/>
      <c r="M379" s="9">
        <f>IF($A379="","",IF(COUNTIFS($B$2:$B$1000,$B379,$C$2:$C$1000,$C379,$D$2:$D$1000,$D379,$H$2:$H$1000,$H379)&gt;1,"DUPLICADO",""))</f>
        <v/>
      </c>
    </row>
    <row r="380">
      <c r="A380" s="9" t="n"/>
      <c r="B380" s="30" t="n"/>
      <c r="C380" s="9" t="n"/>
      <c r="D380" s="24" t="n"/>
      <c r="E380" s="24">
        <f>IF($A380="","",ROUND(SUMIFS(Compras!$L$2:$L$5000,Compras!$A$2:$A$5000,$A380),2))</f>
        <v/>
      </c>
      <c r="F380" s="24">
        <f>IF($A380="","",ROUND($D380-$E380,2))</f>
        <v/>
      </c>
      <c r="G380" s="9">
        <f>IF($A380="","",IF(ABS($F380)&lt;=0.02,"OK","REVISAR"))</f>
        <v/>
      </c>
      <c r="H380" s="9" t="n"/>
      <c r="I380" s="9" t="n"/>
      <c r="J380" s="9" t="n"/>
      <c r="K380" s="9" t="n"/>
      <c r="L380" s="9" t="n"/>
      <c r="M380" s="9">
        <f>IF($A380="","",IF(COUNTIFS($B$2:$B$1000,$B380,$C$2:$C$1000,$C380,$D$2:$D$1000,$D380,$H$2:$H$1000,$H380)&gt;1,"DUPLICADO",""))</f>
        <v/>
      </c>
    </row>
    <row r="381">
      <c r="A381" s="9" t="n"/>
      <c r="B381" s="30" t="n"/>
      <c r="C381" s="9" t="n"/>
      <c r="D381" s="24" t="n"/>
      <c r="E381" s="24">
        <f>IF($A381="","",ROUND(SUMIFS(Compras!$L$2:$L$5000,Compras!$A$2:$A$5000,$A381),2))</f>
        <v/>
      </c>
      <c r="F381" s="24">
        <f>IF($A381="","",ROUND($D381-$E381,2))</f>
        <v/>
      </c>
      <c r="G381" s="9">
        <f>IF($A381="","",IF(ABS($F381)&lt;=0.02,"OK","REVISAR"))</f>
        <v/>
      </c>
      <c r="H381" s="9" t="n"/>
      <c r="I381" s="9" t="n"/>
      <c r="J381" s="9" t="n"/>
      <c r="K381" s="9" t="n"/>
      <c r="L381" s="9" t="n"/>
      <c r="M381" s="9">
        <f>IF($A381="","",IF(COUNTIFS($B$2:$B$1000,$B381,$C$2:$C$1000,$C381,$D$2:$D$1000,$D381,$H$2:$H$1000,$H381)&gt;1,"DUPLICADO",""))</f>
        <v/>
      </c>
    </row>
    <row r="382">
      <c r="A382" s="9" t="n"/>
      <c r="B382" s="30" t="n"/>
      <c r="C382" s="9" t="n"/>
      <c r="D382" s="24" t="n"/>
      <c r="E382" s="24">
        <f>IF($A382="","",ROUND(SUMIFS(Compras!$L$2:$L$5000,Compras!$A$2:$A$5000,$A382),2))</f>
        <v/>
      </c>
      <c r="F382" s="24">
        <f>IF($A382="","",ROUND($D382-$E382,2))</f>
        <v/>
      </c>
      <c r="G382" s="9">
        <f>IF($A382="","",IF(ABS($F382)&lt;=0.02,"OK","REVISAR"))</f>
        <v/>
      </c>
      <c r="H382" s="9" t="n"/>
      <c r="I382" s="9" t="n"/>
      <c r="J382" s="9" t="n"/>
      <c r="K382" s="9" t="n"/>
      <c r="L382" s="9" t="n"/>
      <c r="M382" s="9">
        <f>IF($A382="","",IF(COUNTIFS($B$2:$B$1000,$B382,$C$2:$C$1000,$C382,$D$2:$D$1000,$D382,$H$2:$H$1000,$H382)&gt;1,"DUPLICADO",""))</f>
        <v/>
      </c>
    </row>
    <row r="383">
      <c r="A383" s="9" t="n"/>
      <c r="B383" s="30" t="n"/>
      <c r="C383" s="9" t="n"/>
      <c r="D383" s="24" t="n"/>
      <c r="E383" s="24">
        <f>IF($A383="","",ROUND(SUMIFS(Compras!$L$2:$L$5000,Compras!$A$2:$A$5000,$A383),2))</f>
        <v/>
      </c>
      <c r="F383" s="24">
        <f>IF($A383="","",ROUND($D383-$E383,2))</f>
        <v/>
      </c>
      <c r="G383" s="9">
        <f>IF($A383="","",IF(ABS($F383)&lt;=0.02,"OK","REVISAR"))</f>
        <v/>
      </c>
      <c r="H383" s="9" t="n"/>
      <c r="I383" s="9" t="n"/>
      <c r="J383" s="9" t="n"/>
      <c r="K383" s="9" t="n"/>
      <c r="L383" s="9" t="n"/>
      <c r="M383" s="9">
        <f>IF($A383="","",IF(COUNTIFS($B$2:$B$1000,$B383,$C$2:$C$1000,$C383,$D$2:$D$1000,$D383,$H$2:$H$1000,$H383)&gt;1,"DUPLICADO",""))</f>
        <v/>
      </c>
    </row>
    <row r="384">
      <c r="A384" s="9" t="n"/>
      <c r="B384" s="30" t="n"/>
      <c r="C384" s="9" t="n"/>
      <c r="D384" s="24" t="n"/>
      <c r="E384" s="24">
        <f>IF($A384="","",ROUND(SUMIFS(Compras!$L$2:$L$5000,Compras!$A$2:$A$5000,$A384),2))</f>
        <v/>
      </c>
      <c r="F384" s="24">
        <f>IF($A384="","",ROUND($D384-$E384,2))</f>
        <v/>
      </c>
      <c r="G384" s="9">
        <f>IF($A384="","",IF(ABS($F384)&lt;=0.02,"OK","REVISAR"))</f>
        <v/>
      </c>
      <c r="H384" s="9" t="n"/>
      <c r="I384" s="9" t="n"/>
      <c r="J384" s="9" t="n"/>
      <c r="K384" s="9" t="n"/>
      <c r="L384" s="9" t="n"/>
      <c r="M384" s="9">
        <f>IF($A384="","",IF(COUNTIFS($B$2:$B$1000,$B384,$C$2:$C$1000,$C384,$D$2:$D$1000,$D384,$H$2:$H$1000,$H384)&gt;1,"DUPLICADO",""))</f>
        <v/>
      </c>
    </row>
    <row r="385">
      <c r="A385" s="9" t="n"/>
      <c r="B385" s="30" t="n"/>
      <c r="C385" s="9" t="n"/>
      <c r="D385" s="24" t="n"/>
      <c r="E385" s="24">
        <f>IF($A385="","",ROUND(SUMIFS(Compras!$L$2:$L$5000,Compras!$A$2:$A$5000,$A385),2))</f>
        <v/>
      </c>
      <c r="F385" s="24">
        <f>IF($A385="","",ROUND($D385-$E385,2))</f>
        <v/>
      </c>
      <c r="G385" s="9">
        <f>IF($A385="","",IF(ABS($F385)&lt;=0.02,"OK","REVISAR"))</f>
        <v/>
      </c>
      <c r="H385" s="9" t="n"/>
      <c r="I385" s="9" t="n"/>
      <c r="J385" s="9" t="n"/>
      <c r="K385" s="9" t="n"/>
      <c r="L385" s="9" t="n"/>
      <c r="M385" s="9">
        <f>IF($A385="","",IF(COUNTIFS($B$2:$B$1000,$B385,$C$2:$C$1000,$C385,$D$2:$D$1000,$D385,$H$2:$H$1000,$H385)&gt;1,"DUPLICADO",""))</f>
        <v/>
      </c>
    </row>
    <row r="386">
      <c r="A386" s="9" t="n"/>
      <c r="B386" s="30" t="n"/>
      <c r="C386" s="9" t="n"/>
      <c r="D386" s="24" t="n"/>
      <c r="E386" s="24">
        <f>IF($A386="","",ROUND(SUMIFS(Compras!$L$2:$L$5000,Compras!$A$2:$A$5000,$A386),2))</f>
        <v/>
      </c>
      <c r="F386" s="24">
        <f>IF($A386="","",ROUND($D386-$E386,2))</f>
        <v/>
      </c>
      <c r="G386" s="9">
        <f>IF($A386="","",IF(ABS($F386)&lt;=0.02,"OK","REVISAR"))</f>
        <v/>
      </c>
      <c r="H386" s="9" t="n"/>
      <c r="I386" s="9" t="n"/>
      <c r="J386" s="9" t="n"/>
      <c r="K386" s="9" t="n"/>
      <c r="L386" s="9" t="n"/>
      <c r="M386" s="9">
        <f>IF($A386="","",IF(COUNTIFS($B$2:$B$1000,$B386,$C$2:$C$1000,$C386,$D$2:$D$1000,$D386,$H$2:$H$1000,$H386)&gt;1,"DUPLICADO",""))</f>
        <v/>
      </c>
    </row>
    <row r="387">
      <c r="A387" s="9" t="n"/>
      <c r="B387" s="30" t="n"/>
      <c r="C387" s="9" t="n"/>
      <c r="D387" s="24" t="n"/>
      <c r="E387" s="24">
        <f>IF($A387="","",ROUND(SUMIFS(Compras!$L$2:$L$5000,Compras!$A$2:$A$5000,$A387),2))</f>
        <v/>
      </c>
      <c r="F387" s="24">
        <f>IF($A387="","",ROUND($D387-$E387,2))</f>
        <v/>
      </c>
      <c r="G387" s="9">
        <f>IF($A387="","",IF(ABS($F387)&lt;=0.02,"OK","REVISAR"))</f>
        <v/>
      </c>
      <c r="H387" s="9" t="n"/>
      <c r="I387" s="9" t="n"/>
      <c r="J387" s="9" t="n"/>
      <c r="K387" s="9" t="n"/>
      <c r="L387" s="9" t="n"/>
      <c r="M387" s="9">
        <f>IF($A387="","",IF(COUNTIFS($B$2:$B$1000,$B387,$C$2:$C$1000,$C387,$D$2:$D$1000,$D387,$H$2:$H$1000,$H387)&gt;1,"DUPLICADO",""))</f>
        <v/>
      </c>
    </row>
    <row r="388">
      <c r="A388" s="9" t="n"/>
      <c r="B388" s="30" t="n"/>
      <c r="C388" s="9" t="n"/>
      <c r="D388" s="24" t="n"/>
      <c r="E388" s="24">
        <f>IF($A388="","",ROUND(SUMIFS(Compras!$L$2:$L$5000,Compras!$A$2:$A$5000,$A388),2))</f>
        <v/>
      </c>
      <c r="F388" s="24">
        <f>IF($A388="","",ROUND($D388-$E388,2))</f>
        <v/>
      </c>
      <c r="G388" s="9">
        <f>IF($A388="","",IF(ABS($F388)&lt;=0.02,"OK","REVISAR"))</f>
        <v/>
      </c>
      <c r="H388" s="9" t="n"/>
      <c r="I388" s="9" t="n"/>
      <c r="J388" s="9" t="n"/>
      <c r="K388" s="9" t="n"/>
      <c r="L388" s="9" t="n"/>
      <c r="M388" s="9">
        <f>IF($A388="","",IF(COUNTIFS($B$2:$B$1000,$B388,$C$2:$C$1000,$C388,$D$2:$D$1000,$D388,$H$2:$H$1000,$H388)&gt;1,"DUPLICADO",""))</f>
        <v/>
      </c>
    </row>
    <row r="389">
      <c r="A389" s="9" t="n"/>
      <c r="B389" s="30" t="n"/>
      <c r="C389" s="9" t="n"/>
      <c r="D389" s="24" t="n"/>
      <c r="E389" s="24">
        <f>IF($A389="","",ROUND(SUMIFS(Compras!$L$2:$L$5000,Compras!$A$2:$A$5000,$A389),2))</f>
        <v/>
      </c>
      <c r="F389" s="24">
        <f>IF($A389="","",ROUND($D389-$E389,2))</f>
        <v/>
      </c>
      <c r="G389" s="9">
        <f>IF($A389="","",IF(ABS($F389)&lt;=0.02,"OK","REVISAR"))</f>
        <v/>
      </c>
      <c r="H389" s="9" t="n"/>
      <c r="I389" s="9" t="n"/>
      <c r="J389" s="9" t="n"/>
      <c r="K389" s="9" t="n"/>
      <c r="L389" s="9" t="n"/>
      <c r="M389" s="9">
        <f>IF($A389="","",IF(COUNTIFS($B$2:$B$1000,$B389,$C$2:$C$1000,$C389,$D$2:$D$1000,$D389,$H$2:$H$1000,$H389)&gt;1,"DUPLICADO",""))</f>
        <v/>
      </c>
    </row>
    <row r="390">
      <c r="A390" s="9" t="n"/>
      <c r="B390" s="30" t="n"/>
      <c r="C390" s="9" t="n"/>
      <c r="D390" s="24" t="n"/>
      <c r="E390" s="24">
        <f>IF($A390="","",ROUND(SUMIFS(Compras!$L$2:$L$5000,Compras!$A$2:$A$5000,$A390),2))</f>
        <v/>
      </c>
      <c r="F390" s="24">
        <f>IF($A390="","",ROUND($D390-$E390,2))</f>
        <v/>
      </c>
      <c r="G390" s="9">
        <f>IF($A390="","",IF(ABS($F390)&lt;=0.02,"OK","REVISAR"))</f>
        <v/>
      </c>
      <c r="H390" s="9" t="n"/>
      <c r="I390" s="9" t="n"/>
      <c r="J390" s="9" t="n"/>
      <c r="K390" s="9" t="n"/>
      <c r="L390" s="9" t="n"/>
      <c r="M390" s="9">
        <f>IF($A390="","",IF(COUNTIFS($B$2:$B$1000,$B390,$C$2:$C$1000,$C390,$D$2:$D$1000,$D390,$H$2:$H$1000,$H390)&gt;1,"DUPLICADO",""))</f>
        <v/>
      </c>
    </row>
    <row r="391">
      <c r="A391" s="9" t="n"/>
      <c r="B391" s="30" t="n"/>
      <c r="C391" s="9" t="n"/>
      <c r="D391" s="24" t="n"/>
      <c r="E391" s="24">
        <f>IF($A391="","",ROUND(SUMIFS(Compras!$L$2:$L$5000,Compras!$A$2:$A$5000,$A391),2))</f>
        <v/>
      </c>
      <c r="F391" s="24">
        <f>IF($A391="","",ROUND($D391-$E391,2))</f>
        <v/>
      </c>
      <c r="G391" s="9">
        <f>IF($A391="","",IF(ABS($F391)&lt;=0.02,"OK","REVISAR"))</f>
        <v/>
      </c>
      <c r="H391" s="9" t="n"/>
      <c r="I391" s="9" t="n"/>
      <c r="J391" s="9" t="n"/>
      <c r="K391" s="9" t="n"/>
      <c r="L391" s="9" t="n"/>
      <c r="M391" s="9">
        <f>IF($A391="","",IF(COUNTIFS($B$2:$B$1000,$B391,$C$2:$C$1000,$C391,$D$2:$D$1000,$D391,$H$2:$H$1000,$H391)&gt;1,"DUPLICADO",""))</f>
        <v/>
      </c>
    </row>
    <row r="392">
      <c r="A392" s="9" t="n"/>
      <c r="B392" s="30" t="n"/>
      <c r="C392" s="9" t="n"/>
      <c r="D392" s="24" t="n"/>
      <c r="E392" s="24">
        <f>IF($A392="","",ROUND(SUMIFS(Compras!$L$2:$L$5000,Compras!$A$2:$A$5000,$A392),2))</f>
        <v/>
      </c>
      <c r="F392" s="24">
        <f>IF($A392="","",ROUND($D392-$E392,2))</f>
        <v/>
      </c>
      <c r="G392" s="9">
        <f>IF($A392="","",IF(ABS($F392)&lt;=0.02,"OK","REVISAR"))</f>
        <v/>
      </c>
      <c r="H392" s="9" t="n"/>
      <c r="I392" s="9" t="n"/>
      <c r="J392" s="9" t="n"/>
      <c r="K392" s="9" t="n"/>
      <c r="L392" s="9" t="n"/>
      <c r="M392" s="9">
        <f>IF($A392="","",IF(COUNTIFS($B$2:$B$1000,$B392,$C$2:$C$1000,$C392,$D$2:$D$1000,$D392,$H$2:$H$1000,$H392)&gt;1,"DUPLICADO",""))</f>
        <v/>
      </c>
    </row>
    <row r="393">
      <c r="A393" s="9" t="n"/>
      <c r="B393" s="30" t="n"/>
      <c r="C393" s="9" t="n"/>
      <c r="D393" s="24" t="n"/>
      <c r="E393" s="24">
        <f>IF($A393="","",ROUND(SUMIFS(Compras!$L$2:$L$5000,Compras!$A$2:$A$5000,$A393),2))</f>
        <v/>
      </c>
      <c r="F393" s="24">
        <f>IF($A393="","",ROUND($D393-$E393,2))</f>
        <v/>
      </c>
      <c r="G393" s="9">
        <f>IF($A393="","",IF(ABS($F393)&lt;=0.02,"OK","REVISAR"))</f>
        <v/>
      </c>
      <c r="H393" s="9" t="n"/>
      <c r="I393" s="9" t="n"/>
      <c r="J393" s="9" t="n"/>
      <c r="K393" s="9" t="n"/>
      <c r="L393" s="9" t="n"/>
      <c r="M393" s="9">
        <f>IF($A393="","",IF(COUNTIFS($B$2:$B$1000,$B393,$C$2:$C$1000,$C393,$D$2:$D$1000,$D393,$H$2:$H$1000,$H393)&gt;1,"DUPLICADO",""))</f>
        <v/>
      </c>
    </row>
    <row r="394">
      <c r="A394" s="9" t="n"/>
      <c r="B394" s="30" t="n"/>
      <c r="C394" s="9" t="n"/>
      <c r="D394" s="24" t="n"/>
      <c r="E394" s="24">
        <f>IF($A394="","",ROUND(SUMIFS(Compras!$L$2:$L$5000,Compras!$A$2:$A$5000,$A394),2))</f>
        <v/>
      </c>
      <c r="F394" s="24">
        <f>IF($A394="","",ROUND($D394-$E394,2))</f>
        <v/>
      </c>
      <c r="G394" s="9">
        <f>IF($A394="","",IF(ABS($F394)&lt;=0.02,"OK","REVISAR"))</f>
        <v/>
      </c>
      <c r="H394" s="9" t="n"/>
      <c r="I394" s="9" t="n"/>
      <c r="J394" s="9" t="n"/>
      <c r="K394" s="9" t="n"/>
      <c r="L394" s="9" t="n"/>
      <c r="M394" s="9">
        <f>IF($A394="","",IF(COUNTIFS($B$2:$B$1000,$B394,$C$2:$C$1000,$C394,$D$2:$D$1000,$D394,$H$2:$H$1000,$H394)&gt;1,"DUPLICADO",""))</f>
        <v/>
      </c>
    </row>
    <row r="395">
      <c r="A395" s="9" t="n"/>
      <c r="B395" s="30" t="n"/>
      <c r="C395" s="9" t="n"/>
      <c r="D395" s="24" t="n"/>
      <c r="E395" s="24">
        <f>IF($A395="","",ROUND(SUMIFS(Compras!$L$2:$L$5000,Compras!$A$2:$A$5000,$A395),2))</f>
        <v/>
      </c>
      <c r="F395" s="24">
        <f>IF($A395="","",ROUND($D395-$E395,2))</f>
        <v/>
      </c>
      <c r="G395" s="9">
        <f>IF($A395="","",IF(ABS($F395)&lt;=0.02,"OK","REVISAR"))</f>
        <v/>
      </c>
      <c r="H395" s="9" t="n"/>
      <c r="I395" s="9" t="n"/>
      <c r="J395" s="9" t="n"/>
      <c r="K395" s="9" t="n"/>
      <c r="L395" s="9" t="n"/>
      <c r="M395" s="9">
        <f>IF($A395="","",IF(COUNTIFS($B$2:$B$1000,$B395,$C$2:$C$1000,$C395,$D$2:$D$1000,$D395,$H$2:$H$1000,$H395)&gt;1,"DUPLICADO",""))</f>
        <v/>
      </c>
    </row>
    <row r="396">
      <c r="A396" s="9" t="n"/>
      <c r="B396" s="30" t="n"/>
      <c r="C396" s="9" t="n"/>
      <c r="D396" s="24" t="n"/>
      <c r="E396" s="24">
        <f>IF($A396="","",ROUND(SUMIFS(Compras!$L$2:$L$5000,Compras!$A$2:$A$5000,$A396),2))</f>
        <v/>
      </c>
      <c r="F396" s="24">
        <f>IF($A396="","",ROUND($D396-$E396,2))</f>
        <v/>
      </c>
      <c r="G396" s="9">
        <f>IF($A396="","",IF(ABS($F396)&lt;=0.02,"OK","REVISAR"))</f>
        <v/>
      </c>
      <c r="H396" s="9" t="n"/>
      <c r="I396" s="9" t="n"/>
      <c r="J396" s="9" t="n"/>
      <c r="K396" s="9" t="n"/>
      <c r="L396" s="9" t="n"/>
      <c r="M396" s="9">
        <f>IF($A396="","",IF(COUNTIFS($B$2:$B$1000,$B396,$C$2:$C$1000,$C396,$D$2:$D$1000,$D396,$H$2:$H$1000,$H396)&gt;1,"DUPLICADO",""))</f>
        <v/>
      </c>
    </row>
    <row r="397">
      <c r="A397" s="9" t="n"/>
      <c r="B397" s="30" t="n"/>
      <c r="C397" s="9" t="n"/>
      <c r="D397" s="24" t="n"/>
      <c r="E397" s="24">
        <f>IF($A397="","",ROUND(SUMIFS(Compras!$L$2:$L$5000,Compras!$A$2:$A$5000,$A397),2))</f>
        <v/>
      </c>
      <c r="F397" s="24">
        <f>IF($A397="","",ROUND($D397-$E397,2))</f>
        <v/>
      </c>
      <c r="G397" s="9">
        <f>IF($A397="","",IF(ABS($F397)&lt;=0.02,"OK","REVISAR"))</f>
        <v/>
      </c>
      <c r="H397" s="9" t="n"/>
      <c r="I397" s="9" t="n"/>
      <c r="J397" s="9" t="n"/>
      <c r="K397" s="9" t="n"/>
      <c r="L397" s="9" t="n"/>
      <c r="M397" s="9">
        <f>IF($A397="","",IF(COUNTIFS($B$2:$B$1000,$B397,$C$2:$C$1000,$C397,$D$2:$D$1000,$D397,$H$2:$H$1000,$H397)&gt;1,"DUPLICADO",""))</f>
        <v/>
      </c>
    </row>
    <row r="398">
      <c r="A398" s="9" t="n"/>
      <c r="B398" s="30" t="n"/>
      <c r="C398" s="9" t="n"/>
      <c r="D398" s="24" t="n"/>
      <c r="E398" s="24">
        <f>IF($A398="","",ROUND(SUMIFS(Compras!$L$2:$L$5000,Compras!$A$2:$A$5000,$A398),2))</f>
        <v/>
      </c>
      <c r="F398" s="24">
        <f>IF($A398="","",ROUND($D398-$E398,2))</f>
        <v/>
      </c>
      <c r="G398" s="9">
        <f>IF($A398="","",IF(ABS($F398)&lt;=0.02,"OK","REVISAR"))</f>
        <v/>
      </c>
      <c r="H398" s="9" t="n"/>
      <c r="I398" s="9" t="n"/>
      <c r="J398" s="9" t="n"/>
      <c r="K398" s="9" t="n"/>
      <c r="L398" s="9" t="n"/>
      <c r="M398" s="9">
        <f>IF($A398="","",IF(COUNTIFS($B$2:$B$1000,$B398,$C$2:$C$1000,$C398,$D$2:$D$1000,$D398,$H$2:$H$1000,$H398)&gt;1,"DUPLICADO",""))</f>
        <v/>
      </c>
    </row>
    <row r="399">
      <c r="A399" s="9" t="n"/>
      <c r="B399" s="30" t="n"/>
      <c r="C399" s="9" t="n"/>
      <c r="D399" s="24" t="n"/>
      <c r="E399" s="24">
        <f>IF($A399="","",ROUND(SUMIFS(Compras!$L$2:$L$5000,Compras!$A$2:$A$5000,$A399),2))</f>
        <v/>
      </c>
      <c r="F399" s="24">
        <f>IF($A399="","",ROUND($D399-$E399,2))</f>
        <v/>
      </c>
      <c r="G399" s="9">
        <f>IF($A399="","",IF(ABS($F399)&lt;=0.02,"OK","REVISAR"))</f>
        <v/>
      </c>
      <c r="H399" s="9" t="n"/>
      <c r="I399" s="9" t="n"/>
      <c r="J399" s="9" t="n"/>
      <c r="K399" s="9" t="n"/>
      <c r="L399" s="9" t="n"/>
      <c r="M399" s="9">
        <f>IF($A399="","",IF(COUNTIFS($B$2:$B$1000,$B399,$C$2:$C$1000,$C399,$D$2:$D$1000,$D399,$H$2:$H$1000,$H399)&gt;1,"DUPLICADO",""))</f>
        <v/>
      </c>
    </row>
    <row r="400">
      <c r="A400" s="9" t="n"/>
      <c r="B400" s="30" t="n"/>
      <c r="C400" s="9" t="n"/>
      <c r="D400" s="24" t="n"/>
      <c r="E400" s="24">
        <f>IF($A400="","",ROUND(SUMIFS(Compras!$L$2:$L$5000,Compras!$A$2:$A$5000,$A400),2))</f>
        <v/>
      </c>
      <c r="F400" s="24">
        <f>IF($A400="","",ROUND($D400-$E400,2))</f>
        <v/>
      </c>
      <c r="G400" s="9">
        <f>IF($A400="","",IF(ABS($F400)&lt;=0.02,"OK","REVISAR"))</f>
        <v/>
      </c>
      <c r="H400" s="9" t="n"/>
      <c r="I400" s="9" t="n"/>
      <c r="J400" s="9" t="n"/>
      <c r="K400" s="9" t="n"/>
      <c r="L400" s="9" t="n"/>
      <c r="M400" s="9">
        <f>IF($A400="","",IF(COUNTIFS($B$2:$B$1000,$B400,$C$2:$C$1000,$C400,$D$2:$D$1000,$D400,$H$2:$H$1000,$H400)&gt;1,"DUPLICADO",""))</f>
        <v/>
      </c>
    </row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autoFilter ref="A1:M1"/>
  <conditionalFormatting sqref="A2:M400">
    <cfRule type="expression" priority="1" dxfId="0">
      <formula>$M2="DUPLICADO"</formula>
    </cfRule>
    <cfRule type="expression" priority="2" dxfId="2">
      <formula>AND($A2&lt;&gt;"",$F2&lt;&gt;0)</formula>
    </cfRule>
    <cfRule type="expression" priority="3" dxfId="1">
      <formula>$G2="OK"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PRESUPUESTO MENSUAL POR CATEGORIA</t>
        </is>
      </c>
    </row>
    <row r="2">
      <c r="A2" s="19" t="inlineStr">
        <is>
          <t>Escribe tu presupuesto mensual (amarillo). El gasto se calcula sobre el mes en curso.</t>
        </is>
      </c>
    </row>
    <row r="4" ht="30" customHeight="1">
      <c r="A4" s="8" t="inlineStr">
        <is>
          <t>Categoria</t>
        </is>
      </c>
      <c r="B4" s="8" t="inlineStr">
        <is>
          <t>Presupuesto mensual</t>
        </is>
      </c>
      <c r="C4" s="8" t="inlineStr">
        <is>
          <t>Gastado mes actual</t>
        </is>
      </c>
      <c r="D4" s="8" t="inlineStr">
        <is>
          <t>% ejecutado</t>
        </is>
      </c>
      <c r="E4" s="8" t="inlineStr">
        <is>
          <t>Disponible</t>
        </is>
      </c>
    </row>
    <row r="5">
      <c r="A5" s="9">
        <f>IF(Listas!$A2="","",Listas!$A2)</f>
        <v/>
      </c>
      <c r="B5" s="32" t="n"/>
      <c r="C5" s="24">
        <f>IF($A5="","",ROUND(SUMIFS(Compras!$L$2:$L$5000,Compras!$F$2:$F$5000,$A5,Compras!$C$2:$C$5000,"&gt;="&amp;EOMONTH(TODAY(),-1)+1,Compras!$C$2:$C$5000,"&lt;="&amp;EOMONTH(TODAY(),0)),2))</f>
        <v/>
      </c>
      <c r="D5" s="25">
        <f>IF(OR($A5="",N($B5)=0),"",$C5/$B5)</f>
        <v/>
      </c>
      <c r="E5" s="24">
        <f>IF($A5="","",ROUND(N($B5)-$C5,2))</f>
        <v/>
      </c>
    </row>
    <row r="6">
      <c r="A6" s="9">
        <f>IF(Listas!$A3="","",Listas!$A3)</f>
        <v/>
      </c>
      <c r="B6" s="32" t="n"/>
      <c r="C6" s="24">
        <f>IF($A6="","",ROUND(SUMIFS(Compras!$L$2:$L$5000,Compras!$F$2:$F$5000,$A6,Compras!$C$2:$C$5000,"&gt;="&amp;EOMONTH(TODAY(),-1)+1,Compras!$C$2:$C$5000,"&lt;="&amp;EOMONTH(TODAY(),0)),2))</f>
        <v/>
      </c>
      <c r="D6" s="25">
        <f>IF(OR($A6="",N($B6)=0),"",$C6/$B6)</f>
        <v/>
      </c>
      <c r="E6" s="24">
        <f>IF($A6="","",ROUND(N($B6)-$C6,2))</f>
        <v/>
      </c>
    </row>
    <row r="7">
      <c r="A7" s="9">
        <f>IF(Listas!$A4="","",Listas!$A4)</f>
        <v/>
      </c>
      <c r="B7" s="32" t="n"/>
      <c r="C7" s="24">
        <f>IF($A7="","",ROUND(SUMIFS(Compras!$L$2:$L$5000,Compras!$F$2:$F$5000,$A7,Compras!$C$2:$C$5000,"&gt;="&amp;EOMONTH(TODAY(),-1)+1,Compras!$C$2:$C$5000,"&lt;="&amp;EOMONTH(TODAY(),0)),2))</f>
        <v/>
      </c>
      <c r="D7" s="25">
        <f>IF(OR($A7="",N($B7)=0),"",$C7/$B7)</f>
        <v/>
      </c>
      <c r="E7" s="24">
        <f>IF($A7="","",ROUND(N($B7)-$C7,2))</f>
        <v/>
      </c>
    </row>
    <row r="8">
      <c r="A8" s="9">
        <f>IF(Listas!$A5="","",Listas!$A5)</f>
        <v/>
      </c>
      <c r="B8" s="32" t="n"/>
      <c r="C8" s="24">
        <f>IF($A8="","",ROUND(SUMIFS(Compras!$L$2:$L$5000,Compras!$F$2:$F$5000,$A8,Compras!$C$2:$C$5000,"&gt;="&amp;EOMONTH(TODAY(),-1)+1,Compras!$C$2:$C$5000,"&lt;="&amp;EOMONTH(TODAY(),0)),2))</f>
        <v/>
      </c>
      <c r="D8" s="25">
        <f>IF(OR($A8="",N($B8)=0),"",$C8/$B8)</f>
        <v/>
      </c>
      <c r="E8" s="24">
        <f>IF($A8="","",ROUND(N($B8)-$C8,2))</f>
        <v/>
      </c>
    </row>
    <row r="9">
      <c r="A9" s="9">
        <f>IF(Listas!$A6="","",Listas!$A6)</f>
        <v/>
      </c>
      <c r="B9" s="32" t="n"/>
      <c r="C9" s="24">
        <f>IF($A9="","",ROUND(SUMIFS(Compras!$L$2:$L$5000,Compras!$F$2:$F$5000,$A9,Compras!$C$2:$C$5000,"&gt;="&amp;EOMONTH(TODAY(),-1)+1,Compras!$C$2:$C$5000,"&lt;="&amp;EOMONTH(TODAY(),0)),2))</f>
        <v/>
      </c>
      <c r="D9" s="25">
        <f>IF(OR($A9="",N($B9)=0),"",$C9/$B9)</f>
        <v/>
      </c>
      <c r="E9" s="24">
        <f>IF($A9="","",ROUND(N($B9)-$C9,2))</f>
        <v/>
      </c>
    </row>
    <row r="10">
      <c r="A10" s="9">
        <f>IF(Listas!$A7="","",Listas!$A7)</f>
        <v/>
      </c>
      <c r="B10" s="32" t="n"/>
      <c r="C10" s="24">
        <f>IF($A10="","",ROUND(SUMIFS(Compras!$L$2:$L$5000,Compras!$F$2:$F$5000,$A10,Compras!$C$2:$C$5000,"&gt;="&amp;EOMONTH(TODAY(),-1)+1,Compras!$C$2:$C$5000,"&lt;="&amp;EOMONTH(TODAY(),0)),2))</f>
        <v/>
      </c>
      <c r="D10" s="25">
        <f>IF(OR($A10="",N($B10)=0),"",$C10/$B10)</f>
        <v/>
      </c>
      <c r="E10" s="24">
        <f>IF($A10="","",ROUND(N($B10)-$C10,2))</f>
        <v/>
      </c>
    </row>
    <row r="11">
      <c r="A11" s="9">
        <f>IF(Listas!$A8="","",Listas!$A8)</f>
        <v/>
      </c>
      <c r="B11" s="32" t="n"/>
      <c r="C11" s="24">
        <f>IF($A11="","",ROUND(SUMIFS(Compras!$L$2:$L$5000,Compras!$F$2:$F$5000,$A11,Compras!$C$2:$C$5000,"&gt;="&amp;EOMONTH(TODAY(),-1)+1,Compras!$C$2:$C$5000,"&lt;="&amp;EOMONTH(TODAY(),0)),2))</f>
        <v/>
      </c>
      <c r="D11" s="25">
        <f>IF(OR($A11="",N($B11)=0),"",$C11/$B11)</f>
        <v/>
      </c>
      <c r="E11" s="24">
        <f>IF($A11="","",ROUND(N($B11)-$C11,2))</f>
        <v/>
      </c>
    </row>
    <row r="12">
      <c r="A12" s="9">
        <f>IF(Listas!$A9="","",Listas!$A9)</f>
        <v/>
      </c>
      <c r="B12" s="32" t="n"/>
      <c r="C12" s="24">
        <f>IF($A12="","",ROUND(SUMIFS(Compras!$L$2:$L$5000,Compras!$F$2:$F$5000,$A12,Compras!$C$2:$C$5000,"&gt;="&amp;EOMONTH(TODAY(),-1)+1,Compras!$C$2:$C$5000,"&lt;="&amp;EOMONTH(TODAY(),0)),2))</f>
        <v/>
      </c>
      <c r="D12" s="25">
        <f>IF(OR($A12="",N($B12)=0),"",$C12/$B12)</f>
        <v/>
      </c>
      <c r="E12" s="24">
        <f>IF($A12="","",ROUND(N($B12)-$C12,2))</f>
        <v/>
      </c>
    </row>
    <row r="13">
      <c r="A13" s="9">
        <f>IF(Listas!$A10="","",Listas!$A10)</f>
        <v/>
      </c>
      <c r="B13" s="32" t="n"/>
      <c r="C13" s="24">
        <f>IF($A13="","",ROUND(SUMIFS(Compras!$L$2:$L$5000,Compras!$F$2:$F$5000,$A13,Compras!$C$2:$C$5000,"&gt;="&amp;EOMONTH(TODAY(),-1)+1,Compras!$C$2:$C$5000,"&lt;="&amp;EOMONTH(TODAY(),0)),2))</f>
        <v/>
      </c>
      <c r="D13" s="25">
        <f>IF(OR($A13="",N($B13)=0),"",$C13/$B13)</f>
        <v/>
      </c>
      <c r="E13" s="24">
        <f>IF($A13="","",ROUND(N($B13)-$C13,2))</f>
        <v/>
      </c>
    </row>
    <row r="14">
      <c r="A14" s="9">
        <f>IF(Listas!$A11="","",Listas!$A11)</f>
        <v/>
      </c>
      <c r="B14" s="32" t="n"/>
      <c r="C14" s="24">
        <f>IF($A14="","",ROUND(SUMIFS(Compras!$L$2:$L$5000,Compras!$F$2:$F$5000,$A14,Compras!$C$2:$C$5000,"&gt;="&amp;EOMONTH(TODAY(),-1)+1,Compras!$C$2:$C$5000,"&lt;="&amp;EOMONTH(TODAY(),0)),2))</f>
        <v/>
      </c>
      <c r="D14" s="25">
        <f>IF(OR($A14="",N($B14)=0),"",$C14/$B14)</f>
        <v/>
      </c>
      <c r="E14" s="24">
        <f>IF($A14="","",ROUND(N($B14)-$C14,2))</f>
        <v/>
      </c>
    </row>
    <row r="15">
      <c r="A15" s="9">
        <f>IF(Listas!$A12="","",Listas!$A12)</f>
        <v/>
      </c>
      <c r="B15" s="32" t="n"/>
      <c r="C15" s="24">
        <f>IF($A15="","",ROUND(SUMIFS(Compras!$L$2:$L$5000,Compras!$F$2:$F$5000,$A15,Compras!$C$2:$C$5000,"&gt;="&amp;EOMONTH(TODAY(),-1)+1,Compras!$C$2:$C$5000,"&lt;="&amp;EOMONTH(TODAY(),0)),2))</f>
        <v/>
      </c>
      <c r="D15" s="25">
        <f>IF(OR($A15="",N($B15)=0),"",$C15/$B15)</f>
        <v/>
      </c>
      <c r="E15" s="24">
        <f>IF($A15="","",ROUND(N($B15)-$C15,2))</f>
        <v/>
      </c>
    </row>
    <row r="16">
      <c r="A16" s="9">
        <f>IF(Listas!$A13="","",Listas!$A13)</f>
        <v/>
      </c>
      <c r="B16" s="32" t="n"/>
      <c r="C16" s="24">
        <f>IF($A16="","",ROUND(SUMIFS(Compras!$L$2:$L$5000,Compras!$F$2:$F$5000,$A16,Compras!$C$2:$C$5000,"&gt;="&amp;EOMONTH(TODAY(),-1)+1,Compras!$C$2:$C$5000,"&lt;="&amp;EOMONTH(TODAY(),0)),2))</f>
        <v/>
      </c>
      <c r="D16" s="25">
        <f>IF(OR($A16="",N($B16)=0),"",$C16/$B16)</f>
        <v/>
      </c>
      <c r="E16" s="24">
        <f>IF($A16="","",ROUND(N($B16)-$C16,2))</f>
        <v/>
      </c>
    </row>
    <row r="17">
      <c r="A17" s="9">
        <f>IF(Listas!$A14="","",Listas!$A14)</f>
        <v/>
      </c>
      <c r="B17" s="32" t="n"/>
      <c r="C17" s="24">
        <f>IF($A17="","",ROUND(SUMIFS(Compras!$L$2:$L$5000,Compras!$F$2:$F$5000,$A17,Compras!$C$2:$C$5000,"&gt;="&amp;EOMONTH(TODAY(),-1)+1,Compras!$C$2:$C$5000,"&lt;="&amp;EOMONTH(TODAY(),0)),2))</f>
        <v/>
      </c>
      <c r="D17" s="25">
        <f>IF(OR($A17="",N($B17)=0),"",$C17/$B17)</f>
        <v/>
      </c>
      <c r="E17" s="24">
        <f>IF($A17="","",ROUND(N($B17)-$C17,2))</f>
        <v/>
      </c>
    </row>
    <row r="18">
      <c r="A18" s="9">
        <f>IF(Listas!$A15="","",Listas!$A15)</f>
        <v/>
      </c>
      <c r="B18" s="32" t="n"/>
      <c r="C18" s="24">
        <f>IF($A18="","",ROUND(SUMIFS(Compras!$L$2:$L$5000,Compras!$F$2:$F$5000,$A18,Compras!$C$2:$C$5000,"&gt;="&amp;EOMONTH(TODAY(),-1)+1,Compras!$C$2:$C$5000,"&lt;="&amp;EOMONTH(TODAY(),0)),2))</f>
        <v/>
      </c>
      <c r="D18" s="25">
        <f>IF(OR($A18="",N($B18)=0),"",$C18/$B18)</f>
        <v/>
      </c>
      <c r="E18" s="24">
        <f>IF($A18="","",ROUND(N($B18)-$C18,2))</f>
        <v/>
      </c>
    </row>
    <row r="19">
      <c r="A19" s="9">
        <f>IF(Listas!$A16="","",Listas!$A16)</f>
        <v/>
      </c>
      <c r="B19" s="32" t="n"/>
      <c r="C19" s="24">
        <f>IF($A19="","",ROUND(SUMIFS(Compras!$L$2:$L$5000,Compras!$F$2:$F$5000,$A19,Compras!$C$2:$C$5000,"&gt;="&amp;EOMONTH(TODAY(),-1)+1,Compras!$C$2:$C$5000,"&lt;="&amp;EOMONTH(TODAY(),0)),2))</f>
        <v/>
      </c>
      <c r="D19" s="25">
        <f>IF(OR($A19="",N($B19)=0),"",$C19/$B19)</f>
        <v/>
      </c>
      <c r="E19" s="24">
        <f>IF($A19="","",ROUND(N($B19)-$C19,2))</f>
        <v/>
      </c>
    </row>
    <row r="20">
      <c r="A20" s="9">
        <f>IF(Listas!$A17="","",Listas!$A17)</f>
        <v/>
      </c>
      <c r="B20" s="32" t="n"/>
      <c r="C20" s="24">
        <f>IF($A20="","",ROUND(SUMIFS(Compras!$L$2:$L$5000,Compras!$F$2:$F$5000,$A20,Compras!$C$2:$C$5000,"&gt;="&amp;EOMONTH(TODAY(),-1)+1,Compras!$C$2:$C$5000,"&lt;="&amp;EOMONTH(TODAY(),0)),2))</f>
        <v/>
      </c>
      <c r="D20" s="25">
        <f>IF(OR($A20="",N($B20)=0),"",$C20/$B20)</f>
        <v/>
      </c>
      <c r="E20" s="24">
        <f>IF($A20="","",ROUND(N($B20)-$C20,2))</f>
        <v/>
      </c>
    </row>
    <row r="21">
      <c r="A21" s="9">
        <f>IF(Listas!$A18="","",Listas!$A18)</f>
        <v/>
      </c>
      <c r="B21" s="32" t="n"/>
      <c r="C21" s="24">
        <f>IF($A21="","",ROUND(SUMIFS(Compras!$L$2:$L$5000,Compras!$F$2:$F$5000,$A21,Compras!$C$2:$C$5000,"&gt;="&amp;EOMONTH(TODAY(),-1)+1,Compras!$C$2:$C$5000,"&lt;="&amp;EOMONTH(TODAY(),0)),2))</f>
        <v/>
      </c>
      <c r="D21" s="25">
        <f>IF(OR($A21="",N($B21)=0),"",$C21/$B21)</f>
        <v/>
      </c>
      <c r="E21" s="24">
        <f>IF($A21="","",ROUND(N($B21)-$C21,2))</f>
        <v/>
      </c>
    </row>
    <row r="22">
      <c r="A22" s="9">
        <f>IF(Listas!$A19="","",Listas!$A19)</f>
        <v/>
      </c>
      <c r="B22" s="32" t="n"/>
      <c r="C22" s="24">
        <f>IF($A22="","",ROUND(SUMIFS(Compras!$L$2:$L$5000,Compras!$F$2:$F$5000,$A22,Compras!$C$2:$C$5000,"&gt;="&amp;EOMONTH(TODAY(),-1)+1,Compras!$C$2:$C$5000,"&lt;="&amp;EOMONTH(TODAY(),0)),2))</f>
        <v/>
      </c>
      <c r="D22" s="25">
        <f>IF(OR($A22="",N($B22)=0),"",$C22/$B22)</f>
        <v/>
      </c>
      <c r="E22" s="24">
        <f>IF($A22="","",ROUND(N($B22)-$C22,2))</f>
        <v/>
      </c>
    </row>
    <row r="23">
      <c r="A23" s="9">
        <f>IF(Listas!$A20="","",Listas!$A20)</f>
        <v/>
      </c>
      <c r="B23" s="32" t="n"/>
      <c r="C23" s="24">
        <f>IF($A23="","",ROUND(SUMIFS(Compras!$L$2:$L$5000,Compras!$F$2:$F$5000,$A23,Compras!$C$2:$C$5000,"&gt;="&amp;EOMONTH(TODAY(),-1)+1,Compras!$C$2:$C$5000,"&lt;="&amp;EOMONTH(TODAY(),0)),2))</f>
        <v/>
      </c>
      <c r="D23" s="25">
        <f>IF(OR($A23="",N($B23)=0),"",$C23/$B23)</f>
        <v/>
      </c>
      <c r="E23" s="24">
        <f>IF($A23="","",ROUND(N($B23)-$C23,2))</f>
        <v/>
      </c>
    </row>
    <row r="24">
      <c r="A24" s="9">
        <f>IF(Listas!$A21="","",Listas!$A21)</f>
        <v/>
      </c>
      <c r="B24" s="32" t="n"/>
      <c r="C24" s="24">
        <f>IF($A24="","",ROUND(SUMIFS(Compras!$L$2:$L$5000,Compras!$F$2:$F$5000,$A24,Compras!$C$2:$C$5000,"&gt;="&amp;EOMONTH(TODAY(),-1)+1,Compras!$C$2:$C$5000,"&lt;="&amp;EOMONTH(TODAY(),0)),2))</f>
        <v/>
      </c>
      <c r="D24" s="25">
        <f>IF(OR($A24="",N($B24)=0),"",$C24/$B24)</f>
        <v/>
      </c>
      <c r="E24" s="24">
        <f>IF($A24="","",ROUND(N($B24)-$C24,2))</f>
        <v/>
      </c>
    </row>
    <row r="25">
      <c r="A25" s="9">
        <f>IF(Listas!$A22="","",Listas!$A22)</f>
        <v/>
      </c>
      <c r="B25" s="32" t="n"/>
      <c r="C25" s="24">
        <f>IF($A25="","",ROUND(SUMIFS(Compras!$L$2:$L$5000,Compras!$F$2:$F$5000,$A25,Compras!$C$2:$C$5000,"&gt;="&amp;EOMONTH(TODAY(),-1)+1,Compras!$C$2:$C$5000,"&lt;="&amp;EOMONTH(TODAY(),0)),2))</f>
        <v/>
      </c>
      <c r="D25" s="25">
        <f>IF(OR($A25="",N($B25)=0),"",$C25/$B25)</f>
        <v/>
      </c>
      <c r="E25" s="24">
        <f>IF($A25="","",ROUND(N($B25)-$C25,2))</f>
        <v/>
      </c>
    </row>
    <row r="26">
      <c r="A26" s="9">
        <f>IF(Listas!$A23="","",Listas!$A23)</f>
        <v/>
      </c>
      <c r="B26" s="32" t="n"/>
      <c r="C26" s="24">
        <f>IF($A26="","",ROUND(SUMIFS(Compras!$L$2:$L$5000,Compras!$F$2:$F$5000,$A26,Compras!$C$2:$C$5000,"&gt;="&amp;EOMONTH(TODAY(),-1)+1,Compras!$C$2:$C$5000,"&lt;="&amp;EOMONTH(TODAY(),0)),2))</f>
        <v/>
      </c>
      <c r="D26" s="25">
        <f>IF(OR($A26="",N($B26)=0),"",$C26/$B26)</f>
        <v/>
      </c>
      <c r="E26" s="24">
        <f>IF($A26="","",ROUND(N($B26)-$C26,2))</f>
        <v/>
      </c>
    </row>
    <row r="27">
      <c r="A27" s="9">
        <f>IF(Listas!$A24="","",Listas!$A24)</f>
        <v/>
      </c>
      <c r="B27" s="32" t="n"/>
      <c r="C27" s="24">
        <f>IF($A27="","",ROUND(SUMIFS(Compras!$L$2:$L$5000,Compras!$F$2:$F$5000,$A27,Compras!$C$2:$C$5000,"&gt;="&amp;EOMONTH(TODAY(),-1)+1,Compras!$C$2:$C$5000,"&lt;="&amp;EOMONTH(TODAY(),0)),2))</f>
        <v/>
      </c>
      <c r="D27" s="25">
        <f>IF(OR($A27="",N($B27)=0),"",$C27/$B27)</f>
        <v/>
      </c>
      <c r="E27" s="24">
        <f>IF($A27="","",ROUND(N($B27)-$C27,2))</f>
        <v/>
      </c>
    </row>
    <row r="28">
      <c r="A28" s="9">
        <f>IF(Listas!$A25="","",Listas!$A25)</f>
        <v/>
      </c>
      <c r="B28" s="32" t="n"/>
      <c r="C28" s="24">
        <f>IF($A28="","",ROUND(SUMIFS(Compras!$L$2:$L$5000,Compras!$F$2:$F$5000,$A28,Compras!$C$2:$C$5000,"&gt;="&amp;EOMONTH(TODAY(),-1)+1,Compras!$C$2:$C$5000,"&lt;="&amp;EOMONTH(TODAY(),0)),2))</f>
        <v/>
      </c>
      <c r="D28" s="25">
        <f>IF(OR($A28="",N($B28)=0),"",$C28/$B28)</f>
        <v/>
      </c>
      <c r="E28" s="24">
        <f>IF($A28="","",ROUND(N($B28)-$C28,2))</f>
        <v/>
      </c>
    </row>
    <row r="29">
      <c r="A29" s="2" t="inlineStr">
        <is>
          <t>TOTAL</t>
        </is>
      </c>
      <c r="B29" s="26">
        <f>SUM(B5:B28)</f>
        <v/>
      </c>
      <c r="C29" s="26">
        <f>SUM(C5:C28)</f>
        <v/>
      </c>
      <c r="E29" s="26">
        <f>SUM(E5:E28)</f>
        <v/>
      </c>
    </row>
  </sheetData>
  <conditionalFormatting sqref="D5:D28">
    <cfRule type="expression" priority="1" dxfId="0">
      <formula>AND($D5&lt;&gt;"",$D5&gt;1)</formula>
    </cfRule>
    <cfRule type="expression" priority="2" dxfId="1">
      <formula>AND($D5&lt;&gt;"",$D5&lt;=1)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0" customWidth="1" min="4" max="4"/>
    <col width="95" customWidth="1" min="6" max="6"/>
  </cols>
  <sheetData>
    <row r="1" ht="30" customHeight="1">
      <c r="A1" s="8" t="inlineStr">
        <is>
          <t>Categorias</t>
        </is>
      </c>
      <c r="B1" s="8" t="inlineStr">
        <is>
          <t>Formas de pago</t>
        </is>
      </c>
      <c r="C1" s="8" t="inlineStr">
        <is>
          <t>Unidades</t>
        </is>
      </c>
      <c r="D1" s="8" t="inlineStr">
        <is>
          <t>Moneda</t>
        </is>
      </c>
      <c r="F1" s="19" t="inlineStr">
        <is>
          <t>Listas editables. Capacidad maxima: 24 categorias, 14 formas de pago, 10 unidades. Si anades una categoria nueva, aparece sola en el Resumen y el Presupuesto.</t>
        </is>
      </c>
    </row>
    <row r="2">
      <c r="A2" t="inlineStr">
        <is>
          <t>Supermercado</t>
        </is>
      </c>
      <c r="B2" t="inlineStr">
        <is>
          <t>Efectivo</t>
        </is>
      </c>
      <c r="C2" t="inlineStr">
        <is>
          <t>ud</t>
        </is>
      </c>
      <c r="D2" t="inlineStr">
        <is>
          <t>ARS</t>
        </is>
      </c>
    </row>
    <row r="3">
      <c r="A3" t="inlineStr">
        <is>
          <t>Almacen y bebidas</t>
        </is>
      </c>
      <c r="B3" t="inlineStr">
        <is>
          <t>Tarjeta debito</t>
        </is>
      </c>
      <c r="C3" t="inlineStr">
        <is>
          <t>kg</t>
        </is>
      </c>
      <c r="D3" t="inlineStr">
        <is>
          <t>USD</t>
        </is>
      </c>
    </row>
    <row r="4">
      <c r="A4" t="inlineStr">
        <is>
          <t>Carniceria</t>
        </is>
      </c>
      <c r="B4" t="inlineStr">
        <is>
          <t>Tarjeta credito</t>
        </is>
      </c>
      <c r="C4" t="inlineStr">
        <is>
          <t>g</t>
        </is>
      </c>
      <c r="D4" t="inlineStr">
        <is>
          <t>EUR</t>
        </is>
      </c>
    </row>
    <row r="5">
      <c r="A5" t="inlineStr">
        <is>
          <t>Verduleria y frutas</t>
        </is>
      </c>
      <c r="B5" t="inlineStr">
        <is>
          <t>Transferencia</t>
        </is>
      </c>
      <c r="C5" t="inlineStr">
        <is>
          <t>L</t>
        </is>
      </c>
      <c r="D5" t="inlineStr">
        <is>
          <t>BRL</t>
        </is>
      </c>
    </row>
    <row r="6">
      <c r="A6" t="inlineStr">
        <is>
          <t>Panaderia</t>
        </is>
      </c>
      <c r="B6" t="inlineStr">
        <is>
          <t>Billetera virtual</t>
        </is>
      </c>
      <c r="C6" t="inlineStr">
        <is>
          <t>ml</t>
        </is>
      </c>
      <c r="D6" t="inlineStr">
        <is>
          <t>UYU</t>
        </is>
      </c>
    </row>
    <row r="7">
      <c r="A7" t="inlineStr">
        <is>
          <t>Restaurantes y bares</t>
        </is>
      </c>
      <c r="B7" t="inlineStr">
        <is>
          <t>QR / Mercado Pago</t>
        </is>
      </c>
      <c r="C7" t="inlineStr">
        <is>
          <t>m</t>
        </is>
      </c>
      <c r="D7" t="inlineStr">
        <is>
          <t>CLP</t>
        </is>
      </c>
    </row>
    <row r="8">
      <c r="A8" t="inlineStr">
        <is>
          <t>Transporte y combustible</t>
        </is>
      </c>
      <c r="B8" t="inlineStr">
        <is>
          <t>Cheque</t>
        </is>
      </c>
      <c r="C8" t="inlineStr">
        <is>
          <t>m2</t>
        </is>
      </c>
      <c r="D8" t="inlineStr">
        <is>
          <t>PYG</t>
        </is>
      </c>
    </row>
    <row r="9">
      <c r="A9" t="inlineStr">
        <is>
          <t>Hogar y ferreteria</t>
        </is>
      </c>
      <c r="B9" t="inlineStr">
        <is>
          <t>Debito automatico</t>
        </is>
      </c>
      <c r="C9" t="inlineStr">
        <is>
          <t>caja</t>
        </is>
      </c>
      <c r="D9" t="inlineStr">
        <is>
          <t>BOB</t>
        </is>
      </c>
    </row>
    <row r="10">
      <c r="A10" t="inlineStr">
        <is>
          <t>Ropa y calzado</t>
        </is>
      </c>
      <c r="B10" t="inlineStr">
        <is>
          <t>Cuenta corriente</t>
        </is>
      </c>
      <c r="C10" t="inlineStr">
        <is>
          <t>pack</t>
        </is>
      </c>
      <c r="D10" t="inlineStr">
        <is>
          <t>MXN</t>
        </is>
      </c>
    </row>
    <row r="11">
      <c r="A11" t="inlineStr">
        <is>
          <t>Salud y farmacia</t>
        </is>
      </c>
      <c r="B11" t="inlineStr">
        <is>
          <t>Crypto</t>
        </is>
      </c>
      <c r="C11" t="inlineStr">
        <is>
          <t>servicio</t>
        </is>
      </c>
      <c r="D11" t="inlineStr">
        <is>
          <t>COP</t>
        </is>
      </c>
    </row>
    <row r="12">
      <c r="A12" t="inlineStr">
        <is>
          <t>Tecnologia</t>
        </is>
      </c>
      <c r="B12" t="inlineStr">
        <is>
          <t>Vale / cupon</t>
        </is>
      </c>
      <c r="D12" t="inlineStr">
        <is>
          <t>PEN</t>
        </is>
      </c>
    </row>
    <row r="13">
      <c r="A13" t="inlineStr">
        <is>
          <t>Ocio y entretenimiento</t>
        </is>
      </c>
      <c r="B13" t="inlineStr">
        <is>
          <t>Otro</t>
        </is>
      </c>
    </row>
    <row r="14">
      <c r="A14" t="inlineStr">
        <is>
          <t>Servicios y suministros</t>
        </is>
      </c>
    </row>
    <row r="15">
      <c r="A15" t="inlineStr">
        <is>
          <t>Educacion</t>
        </is>
      </c>
    </row>
    <row r="16">
      <c r="A16" t="inlineStr">
        <is>
          <t>Mascotas</t>
        </is>
      </c>
    </row>
    <row r="17">
      <c r="A17" t="inlineStr">
        <is>
          <t>Cuidado personal</t>
        </is>
      </c>
    </row>
    <row r="18">
      <c r="A18" t="inlineStr">
        <is>
          <t>Regalos</t>
        </is>
      </c>
    </row>
    <row r="19">
      <c r="A19" t="inlineStr">
        <is>
          <t>Impuestos y tasas</t>
        </is>
      </c>
    </row>
    <row r="20">
      <c r="A20" t="inlineStr">
        <is>
          <t>Viajes</t>
        </is>
      </c>
    </row>
    <row r="21">
      <c r="A21" t="inlineStr">
        <is>
          <t>Otros</t>
        </is>
      </c>
    </row>
    <row r="22"/>
    <row r="23"/>
    <row r="24"/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2026-10-12T18:02:37Z</dcterms:created>
  <dcterms:modified xmlns:dcterms="http://purl.org/dc/terms/" xmlns:xsi="http://www.w3.org/2001/XMLSchema-instance" xsi:type="dcterms:W3CDTF">2026-10-12T18:04:46Z</dcterms:modified>
</cp:coreProperties>
</file>